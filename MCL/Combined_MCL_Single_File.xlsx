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hadahmed/Downloads/MCL/WorkDir/Expression files/"/>
    </mc:Choice>
  </mc:AlternateContent>
  <xr:revisionPtr revIDLastSave="0" documentId="13_ncr:1_{B25D7DE6-C96B-754D-B98D-71B7B70FF409}" xr6:coauthVersionLast="47" xr6:coauthVersionMax="47" xr10:uidLastSave="{00000000-0000-0000-0000-000000000000}"/>
  <bookViews>
    <workbookView xWindow="0" yWindow="500" windowWidth="25600" windowHeight="18740" activeTab="1" xr2:uid="{89CC6617-3D9F-2E46-B465-CD0FCF596AB3}"/>
  </bookViews>
  <sheets>
    <sheet name="ROR1" sheetId="1" r:id="rId1"/>
    <sheet name="Z138 Correction" sheetId="8" r:id="rId2"/>
  </sheets>
  <definedNames>
    <definedName name="_xlnm._FilterDatabase" localSheetId="0" hidden="1">'Z138 Correction'!$B$1:$C$96</definedName>
    <definedName name="_xlnm._FilterDatabase" localSheetId="1" hidden="1">'Z138 Correction'!$J$105:$K$198</definedName>
    <definedName name="_xlchart.v1.0" hidden="1">'Z138 Correction'!$J$106:$J$198</definedName>
    <definedName name="_xlchart.v1.1" hidden="1">'Z138 Correction'!$K$105</definedName>
    <definedName name="_xlchart.v1.10" hidden="1">'Z138 Correction'!$K$105</definedName>
    <definedName name="_xlchart.v1.11" hidden="1">'Z138 Correction'!$K$106:$K$198</definedName>
    <definedName name="_xlchart.v1.12" hidden="1">'Z138 Correction'!$J$106:$J$198</definedName>
    <definedName name="_xlchart.v1.13" hidden="1">'Z138 Correction'!$K$105</definedName>
    <definedName name="_xlchart.v1.14" hidden="1">'Z138 Correction'!$K$106:$K$198</definedName>
    <definedName name="_xlchart.v1.2" hidden="1">'Z138 Correction'!$K$106:$K$198</definedName>
    <definedName name="_xlchart.v1.3" hidden="1">'Z138 Correction'!$J$106:$J$198</definedName>
    <definedName name="_xlchart.v1.4" hidden="1">'Z138 Correction'!$K$105</definedName>
    <definedName name="_xlchart.v1.5" hidden="1">'Z138 Correction'!$K$106:$K$198</definedName>
    <definedName name="_xlchart.v1.6" hidden="1">'Z138 Correction'!$J$106:$J$198</definedName>
    <definedName name="_xlchart.v1.7" hidden="1">'Z138 Correction'!$K$105</definedName>
    <definedName name="_xlchart.v1.8" hidden="1">'Z138 Correction'!$K$106:$K$198</definedName>
    <definedName name="_xlchart.v1.9" hidden="1">'Z138 Correction'!$J$106:$J$198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" l="1"/>
  <c r="CL20" i="1"/>
  <c r="CM20" i="1"/>
  <c r="CN20" i="1"/>
  <c r="CO20" i="1"/>
  <c r="CO21" i="1" s="1"/>
  <c r="CP20" i="1"/>
  <c r="CP21" i="1" s="1"/>
  <c r="CQ20" i="1"/>
  <c r="CR20" i="1"/>
  <c r="CS20" i="1"/>
  <c r="CS21" i="1" s="1"/>
  <c r="CL21" i="1"/>
  <c r="CM21" i="1"/>
  <c r="CN21" i="1"/>
  <c r="CQ21" i="1"/>
  <c r="CR21" i="1"/>
  <c r="CK20" i="1"/>
  <c r="CK21" i="1" s="1"/>
  <c r="CJ20" i="1"/>
  <c r="CJ21" i="1" s="1"/>
  <c r="CI20" i="1"/>
  <c r="CI21" i="1" s="1"/>
  <c r="CH20" i="1"/>
  <c r="CH21" i="1" s="1"/>
  <c r="CG20" i="1"/>
  <c r="CG21" i="1" s="1"/>
  <c r="CF20" i="1"/>
  <c r="CF21" i="1" s="1"/>
  <c r="CE20" i="1"/>
  <c r="CE21" i="1" s="1"/>
  <c r="CD20" i="1"/>
  <c r="CD21" i="1" s="1"/>
  <c r="CC20" i="1"/>
  <c r="CC21" i="1" s="1"/>
  <c r="CB20" i="1"/>
  <c r="CB21" i="1" s="1"/>
  <c r="CA20" i="1"/>
  <c r="CA21" i="1" s="1"/>
  <c r="BZ20" i="1"/>
  <c r="BZ21" i="1" s="1"/>
  <c r="BY20" i="1"/>
  <c r="BY21" i="1" s="1"/>
  <c r="BX20" i="1"/>
  <c r="BX21" i="1" s="1"/>
  <c r="BW20" i="1"/>
  <c r="BW21" i="1" s="1"/>
  <c r="BV20" i="1"/>
  <c r="BV21" i="1" s="1"/>
  <c r="BU20" i="1"/>
  <c r="BU21" i="1" s="1"/>
  <c r="BT20" i="1"/>
  <c r="BT21" i="1" s="1"/>
  <c r="BS20" i="1"/>
  <c r="BS21" i="1" s="1"/>
  <c r="BR20" i="1"/>
  <c r="BR21" i="1" s="1"/>
  <c r="BQ20" i="1"/>
  <c r="BQ21" i="1" s="1"/>
  <c r="BP20" i="1"/>
  <c r="BP21" i="1" s="1"/>
  <c r="BO20" i="1"/>
  <c r="BO21" i="1" s="1"/>
  <c r="BN20" i="1"/>
  <c r="BN21" i="1" s="1"/>
  <c r="BM20" i="1"/>
  <c r="BM21" i="1" s="1"/>
  <c r="BL20" i="1"/>
  <c r="BL21" i="1" s="1"/>
  <c r="BK20" i="1"/>
  <c r="BK21" i="1" s="1"/>
  <c r="BJ20" i="1"/>
  <c r="BJ21" i="1" s="1"/>
  <c r="BI20" i="1"/>
  <c r="BI21" i="1" s="1"/>
  <c r="BH20" i="1"/>
  <c r="BH21" i="1" s="1"/>
  <c r="BG20" i="1"/>
  <c r="BG21" i="1" s="1"/>
  <c r="BF20" i="1"/>
  <c r="BF21" i="1" s="1"/>
  <c r="BE20" i="1"/>
  <c r="BE21" i="1" s="1"/>
  <c r="BD20" i="1"/>
  <c r="BD21" i="1" s="1"/>
  <c r="BC20" i="1"/>
  <c r="BC21" i="1" s="1"/>
  <c r="BB20" i="1"/>
  <c r="BB21" i="1" s="1"/>
  <c r="BA20" i="1"/>
  <c r="BA21" i="1" s="1"/>
  <c r="AZ20" i="1"/>
  <c r="AZ21" i="1" s="1"/>
  <c r="AY20" i="1"/>
  <c r="AY21" i="1" s="1"/>
  <c r="AX20" i="1"/>
  <c r="AX21" i="1" s="1"/>
  <c r="AW20" i="1"/>
  <c r="AW21" i="1" s="1"/>
  <c r="AV20" i="1"/>
  <c r="AV21" i="1" s="1"/>
  <c r="AU20" i="1"/>
  <c r="AU21" i="1" s="1"/>
  <c r="AT20" i="1"/>
  <c r="AT21" i="1" s="1"/>
  <c r="AS20" i="1"/>
  <c r="AS21" i="1" s="1"/>
  <c r="AR20" i="1"/>
  <c r="AR21" i="1" s="1"/>
  <c r="AQ20" i="1"/>
  <c r="AQ21" i="1" s="1"/>
  <c r="AP20" i="1"/>
  <c r="AP21" i="1" s="1"/>
  <c r="AO20" i="1"/>
  <c r="AO21" i="1" s="1"/>
  <c r="AN20" i="1"/>
  <c r="AN21" i="1" s="1"/>
  <c r="AM20" i="1"/>
  <c r="AM21" i="1" s="1"/>
  <c r="AL20" i="1"/>
  <c r="AL21" i="1" s="1"/>
  <c r="AK20" i="1"/>
  <c r="AK21" i="1" s="1"/>
  <c r="AJ20" i="1"/>
  <c r="AJ21" i="1" s="1"/>
  <c r="AI20" i="1"/>
  <c r="AI21" i="1" s="1"/>
  <c r="AH20" i="1"/>
  <c r="AH21" i="1" s="1"/>
  <c r="AG20" i="1"/>
  <c r="AG21" i="1" s="1"/>
  <c r="AF20" i="1"/>
  <c r="AF21" i="1" s="1"/>
  <c r="AE20" i="1"/>
  <c r="AE21" i="1" s="1"/>
  <c r="AD20" i="1"/>
  <c r="AD21" i="1" s="1"/>
  <c r="AC20" i="1"/>
  <c r="AC21" i="1" s="1"/>
  <c r="AB20" i="1"/>
  <c r="AB21" i="1" s="1"/>
  <c r="AA20" i="1"/>
  <c r="AA21" i="1" s="1"/>
  <c r="Z20" i="1"/>
  <c r="Z21" i="1" s="1"/>
  <c r="Y20" i="1"/>
  <c r="Y21" i="1" s="1"/>
  <c r="X20" i="1"/>
  <c r="X21" i="1" s="1"/>
  <c r="W20" i="1"/>
  <c r="W21" i="1" s="1"/>
  <c r="V20" i="1"/>
  <c r="V21" i="1" s="1"/>
  <c r="U20" i="1"/>
  <c r="U21" i="1" s="1"/>
  <c r="T20" i="1"/>
  <c r="T21" i="1" s="1"/>
  <c r="S20" i="1"/>
  <c r="S21" i="1" s="1"/>
  <c r="R20" i="1"/>
  <c r="R21" i="1" s="1"/>
  <c r="Q20" i="1"/>
  <c r="Q21" i="1" s="1"/>
  <c r="P20" i="1"/>
  <c r="P21" i="1" s="1"/>
  <c r="O20" i="1"/>
  <c r="O21" i="1" s="1"/>
  <c r="N20" i="1"/>
  <c r="N21" i="1" s="1"/>
  <c r="M20" i="1"/>
  <c r="M21" i="1" s="1"/>
  <c r="L20" i="1"/>
  <c r="L21" i="1" s="1"/>
  <c r="K20" i="1"/>
  <c r="K21" i="1" s="1"/>
  <c r="J20" i="1"/>
  <c r="J21" i="1" s="1"/>
  <c r="I20" i="1"/>
  <c r="I21" i="1" s="1"/>
  <c r="H20" i="1"/>
  <c r="H21" i="1" s="1"/>
  <c r="G20" i="1"/>
  <c r="G21" i="1" s="1"/>
  <c r="F20" i="1"/>
  <c r="F21" i="1" s="1"/>
  <c r="E20" i="1"/>
  <c r="E21" i="1" s="1"/>
  <c r="D20" i="1"/>
  <c r="D21" i="1" s="1"/>
  <c r="C20" i="1"/>
  <c r="C21" i="1" s="1"/>
  <c r="F5" i="8"/>
  <c r="CL6" i="1"/>
  <c r="CL7" i="1" s="1"/>
  <c r="CM6" i="1"/>
  <c r="CM7" i="1" s="1"/>
  <c r="CN6" i="1"/>
  <c r="CN7" i="1" s="1"/>
  <c r="CO6" i="1"/>
  <c r="CO7" i="1" s="1"/>
  <c r="CP6" i="1"/>
  <c r="CP7" i="1" s="1"/>
  <c r="CQ6" i="1"/>
  <c r="CQ7" i="1" s="1"/>
  <c r="CR6" i="1"/>
  <c r="CR7" i="1" s="1"/>
  <c r="CS6" i="1"/>
  <c r="CS7" i="1" s="1"/>
  <c r="D6" i="1"/>
  <c r="D7" i="1" s="1"/>
  <c r="E6" i="1"/>
  <c r="E7" i="1" s="1"/>
  <c r="F6" i="1"/>
  <c r="F7" i="1" s="1"/>
  <c r="G6" i="1"/>
  <c r="G7" i="1" s="1"/>
  <c r="H6" i="1"/>
  <c r="H7" i="1" s="1"/>
  <c r="I6" i="1"/>
  <c r="I7" i="1" s="1"/>
  <c r="J6" i="1"/>
  <c r="J7" i="1" s="1"/>
  <c r="K6" i="1"/>
  <c r="K7" i="1" s="1"/>
  <c r="L6" i="1"/>
  <c r="L7" i="1" s="1"/>
  <c r="M6" i="1"/>
  <c r="M7" i="1" s="1"/>
  <c r="N6" i="1"/>
  <c r="N7" i="1" s="1"/>
  <c r="O6" i="1"/>
  <c r="O7" i="1" s="1"/>
  <c r="P6" i="1"/>
  <c r="P7" i="1" s="1"/>
  <c r="Q6" i="1"/>
  <c r="Q7" i="1" s="1"/>
  <c r="R6" i="1"/>
  <c r="R7" i="1" s="1"/>
  <c r="S6" i="1"/>
  <c r="S7" i="1" s="1"/>
  <c r="T6" i="1"/>
  <c r="T7" i="1" s="1"/>
  <c r="U6" i="1"/>
  <c r="U7" i="1" s="1"/>
  <c r="V6" i="1"/>
  <c r="V7" i="1" s="1"/>
  <c r="W6" i="1"/>
  <c r="W7" i="1" s="1"/>
  <c r="X6" i="1"/>
  <c r="X7" i="1" s="1"/>
  <c r="Y6" i="1"/>
  <c r="Y7" i="1" s="1"/>
  <c r="Z6" i="1"/>
  <c r="Z7" i="1" s="1"/>
  <c r="AA6" i="1"/>
  <c r="AA7" i="1" s="1"/>
  <c r="AB6" i="1"/>
  <c r="AB7" i="1" s="1"/>
  <c r="AC6" i="1"/>
  <c r="AC7" i="1" s="1"/>
  <c r="AD6" i="1"/>
  <c r="AD7" i="1" s="1"/>
  <c r="AE6" i="1"/>
  <c r="AE7" i="1" s="1"/>
  <c r="AF6" i="1"/>
  <c r="AF7" i="1" s="1"/>
  <c r="AG6" i="1"/>
  <c r="AG7" i="1" s="1"/>
  <c r="AH6" i="1"/>
  <c r="AH7" i="1" s="1"/>
  <c r="AI6" i="1"/>
  <c r="AI7" i="1" s="1"/>
  <c r="AJ6" i="1"/>
  <c r="AJ7" i="1" s="1"/>
  <c r="AK6" i="1"/>
  <c r="AK7" i="1" s="1"/>
  <c r="AL6" i="1"/>
  <c r="AL7" i="1" s="1"/>
  <c r="AM6" i="1"/>
  <c r="AM7" i="1" s="1"/>
  <c r="AN6" i="1"/>
  <c r="AN7" i="1" s="1"/>
  <c r="AO6" i="1"/>
  <c r="AO7" i="1" s="1"/>
  <c r="AP6" i="1"/>
  <c r="AP7" i="1" s="1"/>
  <c r="AQ6" i="1"/>
  <c r="AQ7" i="1" s="1"/>
  <c r="AR6" i="1"/>
  <c r="AR7" i="1" s="1"/>
  <c r="AS6" i="1"/>
  <c r="AS7" i="1" s="1"/>
  <c r="AT6" i="1"/>
  <c r="AT7" i="1" s="1"/>
  <c r="AU6" i="1"/>
  <c r="AU7" i="1" s="1"/>
  <c r="AV6" i="1"/>
  <c r="AV7" i="1" s="1"/>
  <c r="AW6" i="1"/>
  <c r="AW7" i="1" s="1"/>
  <c r="AX6" i="1"/>
  <c r="AX7" i="1" s="1"/>
  <c r="AY6" i="1"/>
  <c r="AY7" i="1" s="1"/>
  <c r="AZ6" i="1"/>
  <c r="AZ7" i="1" s="1"/>
  <c r="BA6" i="1"/>
  <c r="BA7" i="1" s="1"/>
  <c r="BB6" i="1"/>
  <c r="BB7" i="1" s="1"/>
  <c r="BC6" i="1"/>
  <c r="BC7" i="1" s="1"/>
  <c r="BD6" i="1"/>
  <c r="BD7" i="1" s="1"/>
  <c r="BE6" i="1"/>
  <c r="BE7" i="1" s="1"/>
  <c r="BF6" i="1"/>
  <c r="BF7" i="1" s="1"/>
  <c r="BG6" i="1"/>
  <c r="BG7" i="1" s="1"/>
  <c r="BH6" i="1"/>
  <c r="BH7" i="1" s="1"/>
  <c r="BI6" i="1"/>
  <c r="BI7" i="1" s="1"/>
  <c r="BJ6" i="1"/>
  <c r="BJ7" i="1" s="1"/>
  <c r="BK6" i="1"/>
  <c r="BK7" i="1" s="1"/>
  <c r="BL6" i="1"/>
  <c r="BL7" i="1" s="1"/>
  <c r="BM6" i="1"/>
  <c r="BM7" i="1" s="1"/>
  <c r="BN6" i="1"/>
  <c r="BN7" i="1" s="1"/>
  <c r="BO6" i="1"/>
  <c r="BO7" i="1" s="1"/>
  <c r="BP6" i="1"/>
  <c r="BP7" i="1" s="1"/>
  <c r="BQ6" i="1"/>
  <c r="BQ7" i="1" s="1"/>
  <c r="BR6" i="1"/>
  <c r="BR7" i="1" s="1"/>
  <c r="BS6" i="1"/>
  <c r="BS7" i="1" s="1"/>
  <c r="BT6" i="1"/>
  <c r="BT7" i="1" s="1"/>
  <c r="BU6" i="1"/>
  <c r="BU7" i="1" s="1"/>
  <c r="BV6" i="1"/>
  <c r="BV7" i="1" s="1"/>
  <c r="BW6" i="1"/>
  <c r="BW7" i="1" s="1"/>
  <c r="BX6" i="1"/>
  <c r="BX7" i="1" s="1"/>
  <c r="BY6" i="1"/>
  <c r="BY7" i="1" s="1"/>
  <c r="BZ6" i="1"/>
  <c r="BZ7" i="1" s="1"/>
  <c r="CA6" i="1"/>
  <c r="CA7" i="1" s="1"/>
  <c r="CB6" i="1"/>
  <c r="CB7" i="1" s="1"/>
  <c r="CC6" i="1"/>
  <c r="CC7" i="1" s="1"/>
  <c r="CD6" i="1"/>
  <c r="CD7" i="1" s="1"/>
  <c r="CE6" i="1"/>
  <c r="CE7" i="1" s="1"/>
  <c r="CF6" i="1"/>
  <c r="CF7" i="1" s="1"/>
  <c r="CG6" i="1"/>
  <c r="CG7" i="1" s="1"/>
  <c r="CH6" i="1"/>
  <c r="CH7" i="1" s="1"/>
  <c r="CI6" i="1"/>
  <c r="CI7" i="1" s="1"/>
  <c r="CJ6" i="1"/>
  <c r="CJ7" i="1" s="1"/>
  <c r="CK6" i="1"/>
  <c r="CK7" i="1" s="1"/>
  <c r="C6" i="1"/>
  <c r="C7" i="1" s="1"/>
</calcChain>
</file>

<file path=xl/sharedStrings.xml><?xml version="1.0" encoding="utf-8"?>
<sst xmlns="http://schemas.openxmlformats.org/spreadsheetml/2006/main" count="530" uniqueCount="114">
  <si>
    <t>NA</t>
  </si>
  <si>
    <t>ROR1</t>
  </si>
  <si>
    <t>232060_at</t>
  </si>
  <si>
    <t>211057_at</t>
  </si>
  <si>
    <t>205805_s_at</t>
  </si>
  <si>
    <t>ROR1-AS1</t>
  </si>
  <si>
    <t>1562823_at</t>
  </si>
  <si>
    <t>GSM3896561_MCL_043.CEL</t>
  </si>
  <si>
    <t>GSM3896560_MCL_042.CEL</t>
  </si>
  <si>
    <t>GSM3896559_MCL_041.CEL</t>
  </si>
  <si>
    <t>GSM3896558_MCL_040.CEL</t>
  </si>
  <si>
    <t>GSM3896557_MCL_039.CEL</t>
  </si>
  <si>
    <t>GSM3896556_MCL_038.CEL</t>
  </si>
  <si>
    <t>GSM3896555_MCL_037.CEL</t>
  </si>
  <si>
    <t>GSM3896554_MCL_036.CEL</t>
  </si>
  <si>
    <t>GSM3896553_MCL_035.CEL</t>
  </si>
  <si>
    <t>GSM3896552_MCL_034.CEL</t>
  </si>
  <si>
    <t>GSM3896551_MCL_033.CEL</t>
  </si>
  <si>
    <t>GSM3896550_MCL_032.CEL</t>
  </si>
  <si>
    <t>GSM3896549_MCL_031.CEL</t>
  </si>
  <si>
    <t>GSM3896548_MCL_030.CEL</t>
  </si>
  <si>
    <t>GSM3896547_MCL_029.CEL</t>
  </si>
  <si>
    <t>GSM3896546_MCL_028.CEL</t>
  </si>
  <si>
    <t>GSM3896545_MCL_027.CEL</t>
  </si>
  <si>
    <t>GSM3896544_MCL_026.CEL</t>
  </si>
  <si>
    <t>GSM3896543_MCL_025.CEL</t>
  </si>
  <si>
    <t>GSM3896542_MCL_024.CEL</t>
  </si>
  <si>
    <t>GSM3896541_MCL_023.CEL</t>
  </si>
  <si>
    <t>GSM3896540_MCL_022.CEL</t>
  </si>
  <si>
    <t>GSM3896539_MCL_021.CEL</t>
  </si>
  <si>
    <t>GSM3896538_MCL_020.CEL</t>
  </si>
  <si>
    <t>GSM3896537_MCL_019.CEL</t>
  </si>
  <si>
    <t>GSM3896536_MCL_018.CEL</t>
  </si>
  <si>
    <t>GSM3896535_MCL_017.CEL</t>
  </si>
  <si>
    <t>GSM3896534_MCL_016.CEL</t>
  </si>
  <si>
    <t>GSM3896533_MCL_015.CEL</t>
  </si>
  <si>
    <t>GSM3896532_MCL_014.CEL</t>
  </si>
  <si>
    <t>GSM3896531_MCL_013.CEL</t>
  </si>
  <si>
    <t>GSM3896530_MCL_012.CEL</t>
  </si>
  <si>
    <t>GSM3896529_MCL_011.CEL</t>
  </si>
  <si>
    <t>GSM3896528_MCL_010.CEL</t>
  </si>
  <si>
    <t>GSM3896527_MCL_009.CEL</t>
  </si>
  <si>
    <t>GSM3896526_MCL_008.CEL</t>
  </si>
  <si>
    <t>GSM3896525_MCL_007.CEL</t>
  </si>
  <si>
    <t>GSM3896524_MCL_006.CEL</t>
  </si>
  <si>
    <t>GSM3896523_MCL_005.CEL</t>
  </si>
  <si>
    <t>GSM3896522_MCL_004.CEL</t>
  </si>
  <si>
    <t>GSM3896521_MCL_003.CEL</t>
  </si>
  <si>
    <t>GSM3896520_MCL_002.CEL</t>
  </si>
  <si>
    <t>GSM3896519_MCL_001.CEL</t>
  </si>
  <si>
    <t>GeneSymbol</t>
  </si>
  <si>
    <t>ProbeID</t>
  </si>
  <si>
    <t>GSM879155.CEL</t>
  </si>
  <si>
    <t>GSM879154.CEL</t>
  </si>
  <si>
    <t>GSM879153.CEL</t>
  </si>
  <si>
    <t>GSM879152.CEL</t>
  </si>
  <si>
    <t>GSM879151.CEL</t>
  </si>
  <si>
    <t>GSM879150.CEL</t>
  </si>
  <si>
    <t>GSM879149.CEL</t>
  </si>
  <si>
    <t>GSM879148.CEL</t>
  </si>
  <si>
    <t>GSM879147.CEL</t>
  </si>
  <si>
    <t>GSM879146.CEL</t>
  </si>
  <si>
    <t>GSM879145.CEL</t>
  </si>
  <si>
    <t>GSM879144.CEL</t>
  </si>
  <si>
    <t>GSM879143.CEL</t>
  </si>
  <si>
    <t>GSM879142.CEL</t>
  </si>
  <si>
    <t>GSM879141.CEL</t>
  </si>
  <si>
    <t>GSM879140.CEL</t>
  </si>
  <si>
    <t>GSM879139.CEL</t>
  </si>
  <si>
    <t>GSM879138.CEL</t>
  </si>
  <si>
    <t>GSM879137.CEL</t>
  </si>
  <si>
    <t>GSM879136.CEL</t>
  </si>
  <si>
    <t>GSM879135.CEL</t>
  </si>
  <si>
    <t>GSM879134.CEL</t>
  </si>
  <si>
    <t>GSM879133.CEL</t>
  </si>
  <si>
    <t>GSM879132.CEL</t>
  </si>
  <si>
    <t>GSM879131.CEL</t>
  </si>
  <si>
    <t>GSM879130.CEL</t>
  </si>
  <si>
    <t>GSM879129.CEL</t>
  </si>
  <si>
    <t>GSM879128.CEL</t>
  </si>
  <si>
    <t>GSM879127.CEL</t>
  </si>
  <si>
    <t>GSM879126.CEL</t>
  </si>
  <si>
    <t>GSM879125.CEL</t>
  </si>
  <si>
    <t>GSM879124.CEL</t>
  </si>
  <si>
    <t>GSM879123.CEL</t>
  </si>
  <si>
    <t>GSM879122.CEL</t>
  </si>
  <si>
    <t>GSM879121.CEL</t>
  </si>
  <si>
    <t>GSM879120.CEL</t>
  </si>
  <si>
    <t>GSM879119.CEL</t>
  </si>
  <si>
    <t>GSM879118.CEL</t>
  </si>
  <si>
    <t>GSM1044978_NUID-0000-0144-6845.cel</t>
  </si>
  <si>
    <t>GSM1044974_NUID-0000-0144-6841.cel</t>
  </si>
  <si>
    <t>GSM1044970_NUID-0000-0144-6827.cel</t>
  </si>
  <si>
    <t>GSM1044966_NUID-0000-0144-6823.cel</t>
  </si>
  <si>
    <t>GSM854803.CEL</t>
  </si>
  <si>
    <t>GSM854802.CEL</t>
  </si>
  <si>
    <t>GSM44293.CEL</t>
  </si>
  <si>
    <t>GSM44292.CEL</t>
  </si>
  <si>
    <t>GSM44291.CEL</t>
  </si>
  <si>
    <t>GSM44290.CEL</t>
  </si>
  <si>
    <t>GSM44289.CEL</t>
  </si>
  <si>
    <t>GSM44288.CEL</t>
  </si>
  <si>
    <t>GSM44287.CEL</t>
  </si>
  <si>
    <t>GSM44286.CEL</t>
  </si>
  <si>
    <t>ROR1_Median</t>
  </si>
  <si>
    <t>ROR1_Median_RoundUp</t>
  </si>
  <si>
    <t>Sr.no</t>
  </si>
  <si>
    <t>GSM1044974</t>
  </si>
  <si>
    <t>Z138</t>
  </si>
  <si>
    <t>GSM854803</t>
  </si>
  <si>
    <t>GSM854802</t>
  </si>
  <si>
    <t>GSM854803_GSM854802_GSM1044974_medain_Z138</t>
  </si>
  <si>
    <t>Samples</t>
  </si>
  <si>
    <t>ROR1 Expression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</si>
</sst>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  <font>
      <sz val="12"/>
      <color rgb="FFFF0000"/>
      <name val="Aptos Narrow"/>
      <scheme val="minor"/>
    </font>
    <font>
      <sz val="1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93011-77A3-374C-B4DC-AAACD404BC2E}">
  <dimension ref="A1:CS21"/>
  <sheetViews>
    <sheetView workbookViewId="0">
      <selection activeCell="C1" sqref="C1:CS1"/>
    </sheetView>
  </sheetViews>
  <sheetFormatPr baseColWidth="10" defaultRowHeight="16"/>
  <cols>
    <col min="2" max="2" width="34.83203125" bestFit="1" customWidth="1"/>
  </cols>
  <sheetData>
    <row r="1" spans="1:97">
      <c r="A1" s="1" t="s">
        <v>51</v>
      </c>
      <c r="B1" s="1" t="s">
        <v>50</v>
      </c>
      <c r="C1" s="4" t="s">
        <v>49</v>
      </c>
      <c r="D1" s="4" t="s">
        <v>48</v>
      </c>
      <c r="E1" s="4" t="s">
        <v>47</v>
      </c>
      <c r="F1" s="4" t="s">
        <v>46</v>
      </c>
      <c r="G1" s="4" t="s">
        <v>45</v>
      </c>
      <c r="H1" s="4" t="s">
        <v>44</v>
      </c>
      <c r="I1" s="4" t="s">
        <v>43</v>
      </c>
      <c r="J1" s="4" t="s">
        <v>42</v>
      </c>
      <c r="K1" s="4" t="s">
        <v>41</v>
      </c>
      <c r="L1" s="4" t="s">
        <v>40</v>
      </c>
      <c r="M1" s="4" t="s">
        <v>39</v>
      </c>
      <c r="N1" s="4" t="s">
        <v>38</v>
      </c>
      <c r="O1" s="4" t="s">
        <v>37</v>
      </c>
      <c r="P1" s="4" t="s">
        <v>36</v>
      </c>
      <c r="Q1" s="4" t="s">
        <v>35</v>
      </c>
      <c r="R1" s="4" t="s">
        <v>34</v>
      </c>
      <c r="S1" s="4" t="s">
        <v>33</v>
      </c>
      <c r="T1" s="4" t="s">
        <v>32</v>
      </c>
      <c r="U1" s="4" t="s">
        <v>31</v>
      </c>
      <c r="V1" s="4" t="s">
        <v>30</v>
      </c>
      <c r="W1" s="4" t="s">
        <v>29</v>
      </c>
      <c r="X1" s="4" t="s">
        <v>28</v>
      </c>
      <c r="Y1" s="4" t="s">
        <v>27</v>
      </c>
      <c r="Z1" s="4" t="s">
        <v>26</v>
      </c>
      <c r="AA1" s="4" t="s">
        <v>25</v>
      </c>
      <c r="AB1" s="4" t="s">
        <v>24</v>
      </c>
      <c r="AC1" s="4" t="s">
        <v>23</v>
      </c>
      <c r="AD1" s="4" t="s">
        <v>22</v>
      </c>
      <c r="AE1" s="4" t="s">
        <v>21</v>
      </c>
      <c r="AF1" s="4" t="s">
        <v>20</v>
      </c>
      <c r="AG1" s="4" t="s">
        <v>19</v>
      </c>
      <c r="AH1" s="4" t="s">
        <v>18</v>
      </c>
      <c r="AI1" s="4" t="s">
        <v>17</v>
      </c>
      <c r="AJ1" s="4" t="s">
        <v>16</v>
      </c>
      <c r="AK1" s="4" t="s">
        <v>15</v>
      </c>
      <c r="AL1" s="4" t="s">
        <v>14</v>
      </c>
      <c r="AM1" s="4" t="s">
        <v>13</v>
      </c>
      <c r="AN1" s="4" t="s">
        <v>12</v>
      </c>
      <c r="AO1" s="4" t="s">
        <v>11</v>
      </c>
      <c r="AP1" s="4" t="s">
        <v>10</v>
      </c>
      <c r="AQ1" s="4" t="s">
        <v>9</v>
      </c>
      <c r="AR1" s="4" t="s">
        <v>8</v>
      </c>
      <c r="AS1" s="4" t="s">
        <v>7</v>
      </c>
      <c r="AT1" s="5" t="s">
        <v>89</v>
      </c>
      <c r="AU1" s="5" t="s">
        <v>88</v>
      </c>
      <c r="AV1" s="5" t="s">
        <v>87</v>
      </c>
      <c r="AW1" s="5" t="s">
        <v>86</v>
      </c>
      <c r="AX1" s="5" t="s">
        <v>85</v>
      </c>
      <c r="AY1" s="5" t="s">
        <v>84</v>
      </c>
      <c r="AZ1" s="5" t="s">
        <v>83</v>
      </c>
      <c r="BA1" s="5" t="s">
        <v>82</v>
      </c>
      <c r="BB1" s="5" t="s">
        <v>81</v>
      </c>
      <c r="BC1" s="5" t="s">
        <v>80</v>
      </c>
      <c r="BD1" s="5" t="s">
        <v>79</v>
      </c>
      <c r="BE1" s="5" t="s">
        <v>78</v>
      </c>
      <c r="BF1" s="5" t="s">
        <v>77</v>
      </c>
      <c r="BG1" s="5" t="s">
        <v>76</v>
      </c>
      <c r="BH1" s="5" t="s">
        <v>75</v>
      </c>
      <c r="BI1" s="5" t="s">
        <v>74</v>
      </c>
      <c r="BJ1" s="5" t="s">
        <v>73</v>
      </c>
      <c r="BK1" s="5" t="s">
        <v>72</v>
      </c>
      <c r="BL1" s="5" t="s">
        <v>71</v>
      </c>
      <c r="BM1" s="5" t="s">
        <v>70</v>
      </c>
      <c r="BN1" s="5" t="s">
        <v>69</v>
      </c>
      <c r="BO1" s="5" t="s">
        <v>68</v>
      </c>
      <c r="BP1" s="5" t="s">
        <v>67</v>
      </c>
      <c r="BQ1" s="5" t="s">
        <v>66</v>
      </c>
      <c r="BR1" s="5" t="s">
        <v>65</v>
      </c>
      <c r="BS1" s="5" t="s">
        <v>64</v>
      </c>
      <c r="BT1" s="5" t="s">
        <v>63</v>
      </c>
      <c r="BU1" s="5" t="s">
        <v>62</v>
      </c>
      <c r="BV1" s="5" t="s">
        <v>61</v>
      </c>
      <c r="BW1" s="5" t="s">
        <v>60</v>
      </c>
      <c r="BX1" s="5" t="s">
        <v>59</v>
      </c>
      <c r="BY1" s="5" t="s">
        <v>58</v>
      </c>
      <c r="BZ1" s="5" t="s">
        <v>57</v>
      </c>
      <c r="CA1" s="5" t="s">
        <v>56</v>
      </c>
      <c r="CB1" s="5" t="s">
        <v>55</v>
      </c>
      <c r="CC1" s="5" t="s">
        <v>54</v>
      </c>
      <c r="CD1" s="5" t="s">
        <v>53</v>
      </c>
      <c r="CE1" s="5" t="s">
        <v>52</v>
      </c>
      <c r="CF1" s="6" t="s">
        <v>93</v>
      </c>
      <c r="CG1" s="6" t="s">
        <v>92</v>
      </c>
      <c r="CH1" s="6" t="s">
        <v>91</v>
      </c>
      <c r="CI1" s="6" t="s">
        <v>90</v>
      </c>
      <c r="CJ1" s="7" t="s">
        <v>95</v>
      </c>
      <c r="CK1" s="7" t="s">
        <v>94</v>
      </c>
      <c r="CL1" s="8" t="s">
        <v>103</v>
      </c>
      <c r="CM1" s="8" t="s">
        <v>102</v>
      </c>
      <c r="CN1" s="8" t="s">
        <v>101</v>
      </c>
      <c r="CO1" s="8" t="s">
        <v>100</v>
      </c>
      <c r="CP1" s="8" t="s">
        <v>99</v>
      </c>
      <c r="CQ1" s="8" t="s">
        <v>98</v>
      </c>
      <c r="CR1" s="8" t="s">
        <v>97</v>
      </c>
      <c r="CS1" s="8" t="s">
        <v>96</v>
      </c>
    </row>
    <row r="2" spans="1:97">
      <c r="A2" s="1" t="s">
        <v>6</v>
      </c>
      <c r="B2" s="1" t="s">
        <v>5</v>
      </c>
      <c r="C2" s="1">
        <v>2.1070542099999998</v>
      </c>
      <c r="D2" s="1">
        <v>2.58156724</v>
      </c>
      <c r="E2" s="1">
        <v>2.0465104200000002</v>
      </c>
      <c r="F2" s="1">
        <v>1.92423926</v>
      </c>
      <c r="G2" s="1">
        <v>2.5232096099999999</v>
      </c>
      <c r="H2" s="1">
        <v>2.9770328799999999</v>
      </c>
      <c r="I2" s="1">
        <v>2.5340755100000001</v>
      </c>
      <c r="J2" s="1">
        <v>2.0080491199999999</v>
      </c>
      <c r="K2" s="1">
        <v>2.3043350999999999</v>
      </c>
      <c r="L2" s="1">
        <v>2.0095660799999999</v>
      </c>
      <c r="M2" s="1">
        <v>2.1382725699999998</v>
      </c>
      <c r="N2" s="1">
        <v>1.8810361600000001</v>
      </c>
      <c r="O2" s="1">
        <v>2.0390204399999998</v>
      </c>
      <c r="P2" s="1">
        <v>1.8099776299999999</v>
      </c>
      <c r="Q2" s="1">
        <v>2.0832662000000002</v>
      </c>
      <c r="R2" s="1">
        <v>2.5017718499999999</v>
      </c>
      <c r="S2" s="1">
        <v>2.4807024000000002</v>
      </c>
      <c r="T2" s="1">
        <v>2.1059740900000001</v>
      </c>
      <c r="U2" s="1">
        <v>1.8458690200000001</v>
      </c>
      <c r="V2" s="1">
        <v>2.1070542099999998</v>
      </c>
      <c r="W2" s="1">
        <v>1.9447126299999999</v>
      </c>
      <c r="X2" s="1">
        <v>2.0514497600000001</v>
      </c>
      <c r="Y2" s="1">
        <v>2.5842229400000001</v>
      </c>
      <c r="Z2" s="1">
        <v>2.10844751</v>
      </c>
      <c r="AA2" s="1">
        <v>1.96544323</v>
      </c>
      <c r="AB2" s="1">
        <v>2.53873222</v>
      </c>
      <c r="AC2" s="1">
        <v>2.37347895</v>
      </c>
      <c r="AD2" s="1">
        <v>2.8755559800000001</v>
      </c>
      <c r="AE2" s="1">
        <v>2.0446233999999999</v>
      </c>
      <c r="AF2" s="1">
        <v>1.8843289400000001</v>
      </c>
      <c r="AG2" s="1">
        <v>2.1196863800000001</v>
      </c>
      <c r="AH2" s="1">
        <v>1.95670839</v>
      </c>
      <c r="AI2" s="1">
        <v>2.0909935900000001</v>
      </c>
      <c r="AJ2" s="1">
        <v>1.9558509399999999</v>
      </c>
      <c r="AK2" s="1">
        <v>1.96544323</v>
      </c>
      <c r="AL2" s="1">
        <v>2.3062289599999999</v>
      </c>
      <c r="AM2" s="1">
        <v>2.2964279699999999</v>
      </c>
      <c r="AN2" s="1">
        <v>2.3073153</v>
      </c>
      <c r="AO2" s="1">
        <v>2.3087206600000001</v>
      </c>
      <c r="AP2" s="1">
        <v>2.1070542099999998</v>
      </c>
      <c r="AQ2" s="1">
        <v>2.0530044799999998</v>
      </c>
      <c r="AR2" s="1">
        <v>1.96859918</v>
      </c>
      <c r="AS2" s="1">
        <v>2.1907210899999998</v>
      </c>
      <c r="AT2" s="1">
        <v>2.67728959</v>
      </c>
      <c r="AU2" s="1">
        <v>2.6749346200000002</v>
      </c>
      <c r="AV2" s="1">
        <v>2.7140587699999998</v>
      </c>
      <c r="AW2" s="1">
        <v>2.90879653</v>
      </c>
      <c r="AX2" s="1">
        <v>2.3859666900000001</v>
      </c>
      <c r="AY2" s="1">
        <v>2.9425570599999999</v>
      </c>
      <c r="AZ2" s="1">
        <v>2.6119253699999998</v>
      </c>
      <c r="BA2" s="1">
        <v>2.6082400200000002</v>
      </c>
      <c r="BB2" s="1">
        <v>2.5676630999999999</v>
      </c>
      <c r="BC2" s="1">
        <v>2.6815476299999998</v>
      </c>
      <c r="BD2" s="1">
        <v>2.86752545</v>
      </c>
      <c r="BE2" s="1">
        <v>2.5020434699999998</v>
      </c>
      <c r="BF2" s="1">
        <v>2.6910234499999999</v>
      </c>
      <c r="BG2" s="1">
        <v>2.6270371400000001</v>
      </c>
      <c r="BH2" s="1">
        <v>2.5801241099999999</v>
      </c>
      <c r="BI2" s="1">
        <v>2.6609187799999998</v>
      </c>
      <c r="BJ2" s="1">
        <v>2.5997384800000001</v>
      </c>
      <c r="BK2" s="1">
        <v>2.7990172000000002</v>
      </c>
      <c r="BL2" s="1">
        <v>2.5913063799999998</v>
      </c>
      <c r="BM2" s="1">
        <v>2.8358409199999999</v>
      </c>
      <c r="BN2" s="1">
        <v>2.7607563900000001</v>
      </c>
      <c r="BO2" s="1">
        <v>2.4462745300000002</v>
      </c>
      <c r="BP2" s="1">
        <v>2.3724993699999999</v>
      </c>
      <c r="BQ2" s="1">
        <v>2.5952476299999998</v>
      </c>
      <c r="BR2" s="1">
        <v>2.7339690600000002</v>
      </c>
      <c r="BS2" s="1">
        <v>2.4676896199999998</v>
      </c>
      <c r="BT2" s="1">
        <v>2.7383437499999999</v>
      </c>
      <c r="BU2" s="1">
        <v>2.58631806</v>
      </c>
      <c r="BV2" s="1">
        <v>2.8358409199999999</v>
      </c>
      <c r="BW2" s="1">
        <v>2.7571256100000001</v>
      </c>
      <c r="BX2" s="1">
        <v>2.8659318599999999</v>
      </c>
      <c r="BY2" s="1">
        <v>2.5254672999999999</v>
      </c>
      <c r="BZ2" s="1">
        <v>2.5860188000000002</v>
      </c>
      <c r="CA2" s="1">
        <v>2.5760875099999998</v>
      </c>
      <c r="CB2" s="1">
        <v>2.4788353600000002</v>
      </c>
      <c r="CC2" s="1">
        <v>2.5633907699999998</v>
      </c>
      <c r="CD2" s="1">
        <v>2.6153239500000001</v>
      </c>
      <c r="CE2" s="1">
        <v>2.67680812</v>
      </c>
      <c r="CF2" s="1">
        <v>3.00592747</v>
      </c>
      <c r="CG2" s="1">
        <v>2.9695850500000001</v>
      </c>
      <c r="CH2" s="1">
        <v>3.0251338099999998</v>
      </c>
      <c r="CI2" s="1">
        <v>3.38916073</v>
      </c>
      <c r="CJ2" s="1">
        <v>2.7444752100000001</v>
      </c>
      <c r="CK2" s="1">
        <v>3.1234107999999998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</row>
    <row r="3" spans="1:97">
      <c r="A3" s="1" t="s">
        <v>4</v>
      </c>
      <c r="B3" s="1" t="s">
        <v>1</v>
      </c>
      <c r="C3" s="1">
        <v>3.75184541</v>
      </c>
      <c r="D3" s="1">
        <v>4.4675115500000002</v>
      </c>
      <c r="E3" s="1">
        <v>7.5978935300000003</v>
      </c>
      <c r="F3" s="1">
        <v>7.4569101399999997</v>
      </c>
      <c r="G3" s="1">
        <v>5.4558541199999997</v>
      </c>
      <c r="H3" s="1">
        <v>5.8734817000000001</v>
      </c>
      <c r="I3" s="1">
        <v>7.2197338100000001</v>
      </c>
      <c r="J3" s="1">
        <v>5.7629798299999999</v>
      </c>
      <c r="K3" s="1">
        <v>3.9525538199999999</v>
      </c>
      <c r="L3" s="1">
        <v>5.9359669200000003</v>
      </c>
      <c r="M3" s="1">
        <v>3.5864447899999998</v>
      </c>
      <c r="N3" s="1">
        <v>7.30972358</v>
      </c>
      <c r="O3" s="1">
        <v>5.3522482599999996</v>
      </c>
      <c r="P3" s="1">
        <v>6.2532381600000004</v>
      </c>
      <c r="Q3" s="1">
        <v>7.9326332800000001</v>
      </c>
      <c r="R3" s="1">
        <v>6.5679753200000004</v>
      </c>
      <c r="S3" s="1">
        <v>6.74977581</v>
      </c>
      <c r="T3" s="1">
        <v>7.0917166500000004</v>
      </c>
      <c r="U3" s="1">
        <v>3.9218263599999998</v>
      </c>
      <c r="V3" s="1">
        <v>5.1804433200000002</v>
      </c>
      <c r="W3" s="1">
        <v>6.5124507400000002</v>
      </c>
      <c r="X3" s="1">
        <v>5.0669646200000003</v>
      </c>
      <c r="Y3" s="1">
        <v>6.7698105999999996</v>
      </c>
      <c r="Z3" s="1">
        <v>5.9984327200000003</v>
      </c>
      <c r="AA3" s="1">
        <v>4.2367522299999996</v>
      </c>
      <c r="AB3" s="1">
        <v>7.2391542400000004</v>
      </c>
      <c r="AC3" s="1">
        <v>6.7881786699999997</v>
      </c>
      <c r="AD3" s="1">
        <v>5.6947089699999998</v>
      </c>
      <c r="AE3" s="1">
        <v>4.5941206299999999</v>
      </c>
      <c r="AF3" s="1">
        <v>6.2708970099999997</v>
      </c>
      <c r="AG3" s="1">
        <v>5.7436680000000004</v>
      </c>
      <c r="AH3" s="1">
        <v>6.5854860000000004</v>
      </c>
      <c r="AI3" s="1">
        <v>7.4024782399999998</v>
      </c>
      <c r="AJ3" s="1">
        <v>7.3941356599999999</v>
      </c>
      <c r="AK3" s="1">
        <v>6.3183663599999997</v>
      </c>
      <c r="AL3" s="1">
        <v>4.5253161400000002</v>
      </c>
      <c r="AM3" s="1">
        <v>7.5878561700000002</v>
      </c>
      <c r="AN3" s="1">
        <v>8.5508475799999992</v>
      </c>
      <c r="AO3" s="1">
        <v>6.3497193000000003</v>
      </c>
      <c r="AP3" s="1">
        <v>5.1263420399999999</v>
      </c>
      <c r="AQ3" s="1">
        <v>5.7796863299999996</v>
      </c>
      <c r="AR3" s="1">
        <v>7.9380250099999996</v>
      </c>
      <c r="AS3" s="1">
        <v>8.0108773400000004</v>
      </c>
      <c r="AT3" s="1">
        <v>7.5743402800000004</v>
      </c>
      <c r="AU3" s="1">
        <v>8.1020033599999994</v>
      </c>
      <c r="AV3" s="1">
        <v>6.6651040300000002</v>
      </c>
      <c r="AW3" s="1">
        <v>8.5354781000000006</v>
      </c>
      <c r="AX3" s="1">
        <v>8.5782382599999991</v>
      </c>
      <c r="AY3" s="1">
        <v>3.5417119700000002</v>
      </c>
      <c r="AZ3" s="1">
        <v>4.5094347700000004</v>
      </c>
      <c r="BA3" s="1">
        <v>7.0056831700000002</v>
      </c>
      <c r="BB3" s="1">
        <v>6.4666977399999999</v>
      </c>
      <c r="BC3" s="1">
        <v>8.2274001299999995</v>
      </c>
      <c r="BD3" s="1">
        <v>6.7717880900000003</v>
      </c>
      <c r="BE3" s="1">
        <v>6.7013502300000001</v>
      </c>
      <c r="BF3" s="1">
        <v>6.2275889199999996</v>
      </c>
      <c r="BG3" s="1">
        <v>6.7689517199999996</v>
      </c>
      <c r="BH3" s="1">
        <v>6.21625198</v>
      </c>
      <c r="BI3" s="1">
        <v>6.5190161099999999</v>
      </c>
      <c r="BJ3" s="1">
        <v>3.0376311500000002</v>
      </c>
      <c r="BK3" s="1">
        <v>7.5481515300000002</v>
      </c>
      <c r="BL3" s="1">
        <v>3.84564181</v>
      </c>
      <c r="BM3" s="1">
        <v>6.9603570100000001</v>
      </c>
      <c r="BN3" s="1">
        <v>6.8132199299999998</v>
      </c>
      <c r="BO3" s="1">
        <v>6.0412259199999996</v>
      </c>
      <c r="BP3" s="1">
        <v>6.9388879799999996</v>
      </c>
      <c r="BQ3" s="1">
        <v>4.8719865999999996</v>
      </c>
      <c r="BR3" s="1">
        <v>5.7484565099999996</v>
      </c>
      <c r="BS3" s="1">
        <v>3.0510260599999999</v>
      </c>
      <c r="BT3" s="1">
        <v>3.4572829899999999</v>
      </c>
      <c r="BU3" s="1">
        <v>3.27456674</v>
      </c>
      <c r="BV3" s="1">
        <v>4.9139179300000002</v>
      </c>
      <c r="BW3" s="1">
        <v>7.0461542100000001</v>
      </c>
      <c r="BX3" s="1">
        <v>5.8343616300000001</v>
      </c>
      <c r="BY3" s="1">
        <v>6.2376478000000004</v>
      </c>
      <c r="BZ3" s="1">
        <v>3.4166269100000002</v>
      </c>
      <c r="CA3" s="1">
        <v>7.1105248300000001</v>
      </c>
      <c r="CB3" s="1">
        <v>7.1907591899999996</v>
      </c>
      <c r="CC3" s="1">
        <v>4.4305294000000002</v>
      </c>
      <c r="CD3" s="1">
        <v>3.6851786099999999</v>
      </c>
      <c r="CE3" s="1">
        <v>5.9995786300000002</v>
      </c>
      <c r="CF3" s="1">
        <v>9.5879591800000004</v>
      </c>
      <c r="CG3" s="1">
        <v>9.3323484099999998</v>
      </c>
      <c r="CH3" s="1">
        <v>7.662598</v>
      </c>
      <c r="CI3" s="1">
        <v>9.8866063900000007</v>
      </c>
      <c r="CJ3" s="1">
        <v>5.1083113100000004</v>
      </c>
      <c r="CK3" s="1">
        <v>4.8836591800000004</v>
      </c>
      <c r="CL3" s="1">
        <v>11.0752056</v>
      </c>
      <c r="CM3" s="1">
        <v>10.6504048</v>
      </c>
      <c r="CN3" s="1">
        <v>10.551784</v>
      </c>
      <c r="CO3" s="1">
        <v>8.9033491799999993</v>
      </c>
      <c r="CP3" s="1">
        <v>9.9520091399999995</v>
      </c>
      <c r="CQ3" s="1">
        <v>10.3135665</v>
      </c>
      <c r="CR3" s="1">
        <v>8.47785191</v>
      </c>
      <c r="CS3" s="1">
        <v>9.3217408600000002</v>
      </c>
    </row>
    <row r="4" spans="1:97">
      <c r="A4" s="1" t="s">
        <v>3</v>
      </c>
      <c r="B4" s="1" t="s">
        <v>1</v>
      </c>
      <c r="C4" s="1">
        <v>3.8279702599999998</v>
      </c>
      <c r="D4" s="1">
        <v>3.2910461799999999</v>
      </c>
      <c r="E4" s="1">
        <v>5.1292127499999998</v>
      </c>
      <c r="F4" s="1">
        <v>5.4702704799999999</v>
      </c>
      <c r="G4" s="1">
        <v>5.1647240700000001</v>
      </c>
      <c r="H4" s="1">
        <v>5.56812606</v>
      </c>
      <c r="I4" s="1">
        <v>4.6530564400000003</v>
      </c>
      <c r="J4" s="1">
        <v>4.3496370999999998</v>
      </c>
      <c r="K4" s="1">
        <v>3.6896540999999998</v>
      </c>
      <c r="L4" s="1">
        <v>4.3496370999999998</v>
      </c>
      <c r="M4" s="1">
        <v>3.5664908099999999</v>
      </c>
      <c r="N4" s="1">
        <v>4.6533810500000001</v>
      </c>
      <c r="O4" s="1">
        <v>3.4482180200000001</v>
      </c>
      <c r="P4" s="1">
        <v>5.1000889200000001</v>
      </c>
      <c r="Q4" s="1">
        <v>5.1671947600000001</v>
      </c>
      <c r="R4" s="1">
        <v>4.0037581900000001</v>
      </c>
      <c r="S4" s="1">
        <v>4.7041145200000001</v>
      </c>
      <c r="T4" s="1">
        <v>4.6008883300000001</v>
      </c>
      <c r="U4" s="1">
        <v>3.5371849499999999</v>
      </c>
      <c r="V4" s="1">
        <v>3.2571556400000001</v>
      </c>
      <c r="W4" s="1">
        <v>3.4813981599999999</v>
      </c>
      <c r="X4" s="1">
        <v>3.8154442799999999</v>
      </c>
      <c r="Y4" s="1">
        <v>4.5257563300000001</v>
      </c>
      <c r="Z4" s="1">
        <v>4.40739109</v>
      </c>
      <c r="AA4" s="1">
        <v>3.2947437100000001</v>
      </c>
      <c r="AB4" s="1">
        <v>4.2891875700000002</v>
      </c>
      <c r="AC4" s="1">
        <v>4.2403450100000004</v>
      </c>
      <c r="AD4" s="1">
        <v>3.7662367899999998</v>
      </c>
      <c r="AE4" s="1">
        <v>3.4637311300000002</v>
      </c>
      <c r="AF4" s="1">
        <v>4.7497440299999996</v>
      </c>
      <c r="AG4" s="1">
        <v>4.1386407199999997</v>
      </c>
      <c r="AH4" s="1">
        <v>4.6216468300000004</v>
      </c>
      <c r="AI4" s="1">
        <v>4.3233704800000003</v>
      </c>
      <c r="AJ4" s="1">
        <v>4.6427299099999999</v>
      </c>
      <c r="AK4" s="1">
        <v>4.4821331100000004</v>
      </c>
      <c r="AL4" s="1">
        <v>2.88552176</v>
      </c>
      <c r="AM4" s="1">
        <v>4.8466860699999996</v>
      </c>
      <c r="AN4" s="1">
        <v>5.57033486</v>
      </c>
      <c r="AO4" s="1">
        <v>3.6862091299999999</v>
      </c>
      <c r="AP4" s="1">
        <v>3.9520272699999999</v>
      </c>
      <c r="AQ4" s="1">
        <v>4.5955217599999996</v>
      </c>
      <c r="AR4" s="1">
        <v>5.7129110399999998</v>
      </c>
      <c r="AS4" s="1">
        <v>5.4514488600000002</v>
      </c>
      <c r="AT4" s="1">
        <v>7.60392767</v>
      </c>
      <c r="AU4" s="1">
        <v>7.5073435599999998</v>
      </c>
      <c r="AV4" s="1">
        <v>7.4917489000000002</v>
      </c>
      <c r="AW4" s="1">
        <v>8.2357169399999997</v>
      </c>
      <c r="AX4" s="1">
        <v>8.2369464499999996</v>
      </c>
      <c r="AY4" s="1">
        <v>3.7785452199999998</v>
      </c>
      <c r="AZ4" s="1">
        <v>5.1652138900000004</v>
      </c>
      <c r="BA4" s="1">
        <v>7.2445901499999996</v>
      </c>
      <c r="BB4" s="1">
        <v>5.8405500200000002</v>
      </c>
      <c r="BC4" s="1">
        <v>8.2571198399999997</v>
      </c>
      <c r="BD4" s="1">
        <v>8.1633735000000005</v>
      </c>
      <c r="BE4" s="1">
        <v>7.0923124299999998</v>
      </c>
      <c r="BF4" s="1">
        <v>6.5884711500000002</v>
      </c>
      <c r="BG4" s="1">
        <v>6.8671187900000001</v>
      </c>
      <c r="BH4" s="1">
        <v>6.1335803799999997</v>
      </c>
      <c r="BI4" s="1">
        <v>7.8257922200000003</v>
      </c>
      <c r="BJ4" s="1">
        <v>4.0790865500000004</v>
      </c>
      <c r="BK4" s="1">
        <v>7.4959288199999996</v>
      </c>
      <c r="BL4" s="1">
        <v>4.1652826899999997</v>
      </c>
      <c r="BM4" s="1">
        <v>8.4121008899999996</v>
      </c>
      <c r="BN4" s="1">
        <v>7.4032351900000002</v>
      </c>
      <c r="BO4" s="1">
        <v>7.3476679000000003</v>
      </c>
      <c r="BP4" s="1">
        <v>6.9294457899999999</v>
      </c>
      <c r="BQ4" s="1">
        <v>5.9040395999999999</v>
      </c>
      <c r="BR4" s="1">
        <v>7.27121014</v>
      </c>
      <c r="BS4" s="1">
        <v>4.2688248099999999</v>
      </c>
      <c r="BT4" s="1">
        <v>4.0057048100000001</v>
      </c>
      <c r="BU4" s="1">
        <v>3.76328657</v>
      </c>
      <c r="BV4" s="1">
        <v>4.8720766099999997</v>
      </c>
      <c r="BW4" s="1">
        <v>7.50944871</v>
      </c>
      <c r="BX4" s="1">
        <v>7.0568050199999997</v>
      </c>
      <c r="BY4" s="1">
        <v>7.2103863700000002</v>
      </c>
      <c r="BZ4" s="1">
        <v>3.7575834600000002</v>
      </c>
      <c r="CA4" s="1">
        <v>7.4081767100000002</v>
      </c>
      <c r="CB4" s="1">
        <v>7.6038592899999999</v>
      </c>
      <c r="CC4" s="1">
        <v>4.3701558900000004</v>
      </c>
      <c r="CD4" s="1">
        <v>4.4140823300000003</v>
      </c>
      <c r="CE4" s="1">
        <v>5.9327375399999998</v>
      </c>
      <c r="CF4" s="1">
        <v>7.0239699900000003</v>
      </c>
      <c r="CG4" s="1">
        <v>6.6808433699999998</v>
      </c>
      <c r="CH4" s="1">
        <v>6.20666355</v>
      </c>
      <c r="CI4" s="1">
        <v>7.1518655600000001</v>
      </c>
      <c r="CJ4" s="1">
        <v>5.0390313999999998</v>
      </c>
      <c r="CK4" s="1">
        <v>4.9681398100000003</v>
      </c>
      <c r="CL4" s="1">
        <v>11.0752056</v>
      </c>
      <c r="CM4" s="1">
        <v>10.6504048</v>
      </c>
      <c r="CN4" s="1">
        <v>10.551784</v>
      </c>
      <c r="CO4" s="1">
        <v>8.9033491799999993</v>
      </c>
      <c r="CP4" s="1">
        <v>9.9520091399999995</v>
      </c>
      <c r="CQ4" s="1">
        <v>10.3135665</v>
      </c>
      <c r="CR4" s="1">
        <v>8.47785191</v>
      </c>
      <c r="CS4" s="1">
        <v>9.3217408600000002</v>
      </c>
    </row>
    <row r="5" spans="1:97">
      <c r="A5" s="1" t="s">
        <v>2</v>
      </c>
      <c r="B5" s="1" t="s">
        <v>1</v>
      </c>
      <c r="C5" s="1">
        <v>4.17019933</v>
      </c>
      <c r="D5" s="1">
        <v>4.3422463599999999</v>
      </c>
      <c r="E5" s="1">
        <v>7.2358450899999998</v>
      </c>
      <c r="F5" s="1">
        <v>7.4339096600000003</v>
      </c>
      <c r="G5" s="1">
        <v>3.1630882900000001</v>
      </c>
      <c r="H5" s="1">
        <v>4.0844847299999998</v>
      </c>
      <c r="I5" s="1">
        <v>6.57592131</v>
      </c>
      <c r="J5" s="1">
        <v>6.7802642799999999</v>
      </c>
      <c r="K5" s="1">
        <v>3.6228269800000001</v>
      </c>
      <c r="L5" s="1">
        <v>6.1418465800000002</v>
      </c>
      <c r="M5" s="1">
        <v>2.68318499</v>
      </c>
      <c r="N5" s="1">
        <v>8.5323101700000006</v>
      </c>
      <c r="O5" s="1">
        <v>4.3080698100000001</v>
      </c>
      <c r="P5" s="1">
        <v>7.0090303900000004</v>
      </c>
      <c r="Q5" s="1">
        <v>7.11096138</v>
      </c>
      <c r="R5" s="1">
        <v>7.0578668100000002</v>
      </c>
      <c r="S5" s="1">
        <v>6.7945199399999998</v>
      </c>
      <c r="T5" s="1">
        <v>6.6680391800000001</v>
      </c>
      <c r="U5" s="1">
        <v>4.3153544500000001</v>
      </c>
      <c r="V5" s="1">
        <v>3.9729719000000001</v>
      </c>
      <c r="W5" s="1">
        <v>7.2552996099999998</v>
      </c>
      <c r="X5" s="1">
        <v>4.8126653299999997</v>
      </c>
      <c r="Y5" s="1">
        <v>6.8176231500000002</v>
      </c>
      <c r="Z5" s="1">
        <v>5.3426832400000004</v>
      </c>
      <c r="AA5" s="1">
        <v>3.7092737800000002</v>
      </c>
      <c r="AB5" s="1">
        <v>7.5401558399999997</v>
      </c>
      <c r="AC5" s="1">
        <v>7.4854351499999998</v>
      </c>
      <c r="AD5" s="1">
        <v>4.3365154400000003</v>
      </c>
      <c r="AE5" s="1">
        <v>4.2014679199999998</v>
      </c>
      <c r="AF5" s="1">
        <v>6.24297082</v>
      </c>
      <c r="AG5" s="1">
        <v>5.2478904799999997</v>
      </c>
      <c r="AH5" s="1">
        <v>7.6381562499999998</v>
      </c>
      <c r="AI5" s="1">
        <v>8.4766061500000003</v>
      </c>
      <c r="AJ5" s="1">
        <v>6.9611394100000004</v>
      </c>
      <c r="AK5" s="1">
        <v>5.5164051699999996</v>
      </c>
      <c r="AL5" s="1">
        <v>4.6407006600000003</v>
      </c>
      <c r="AM5" s="1">
        <v>7.3546404699999997</v>
      </c>
      <c r="AN5" s="1">
        <v>8.2994037600000006</v>
      </c>
      <c r="AO5" s="1">
        <v>5.37777364</v>
      </c>
      <c r="AP5" s="1">
        <v>3.0885657200000001</v>
      </c>
      <c r="AQ5" s="1">
        <v>6.2037795200000003</v>
      </c>
      <c r="AR5" s="1">
        <v>7.6408185299999998</v>
      </c>
      <c r="AS5" s="1">
        <v>7.50619323</v>
      </c>
      <c r="AT5" s="1">
        <v>8.5614031399999995</v>
      </c>
      <c r="AU5" s="1">
        <v>9.0294703500000004</v>
      </c>
      <c r="AV5" s="1">
        <v>7.4643925800000002</v>
      </c>
      <c r="AW5" s="1">
        <v>9.6350042400000007</v>
      </c>
      <c r="AX5" s="1">
        <v>9.4534383399999999</v>
      </c>
      <c r="AY5" s="1">
        <v>3.8834910200000001</v>
      </c>
      <c r="AZ5" s="1">
        <v>5.52455081</v>
      </c>
      <c r="BA5" s="1">
        <v>8.2635252500000007</v>
      </c>
      <c r="BB5" s="1">
        <v>6.26571151</v>
      </c>
      <c r="BC5" s="1">
        <v>9.4616145399999994</v>
      </c>
      <c r="BD5" s="1">
        <v>8.0611896000000005</v>
      </c>
      <c r="BE5" s="1">
        <v>7.9831743700000004</v>
      </c>
      <c r="BF5" s="1">
        <v>7.65010601</v>
      </c>
      <c r="BG5" s="1">
        <v>7.5836200299999996</v>
      </c>
      <c r="BH5" s="1">
        <v>7.2777956799999997</v>
      </c>
      <c r="BI5" s="1">
        <v>7.2158068200000001</v>
      </c>
      <c r="BJ5" s="1">
        <v>3.29055579</v>
      </c>
      <c r="BK5" s="1">
        <v>8.8652874300000004</v>
      </c>
      <c r="BL5" s="1">
        <v>2.50308989</v>
      </c>
      <c r="BM5" s="1">
        <v>8.1409635999999992</v>
      </c>
      <c r="BN5" s="1">
        <v>8.1220400300000009</v>
      </c>
      <c r="BO5" s="1">
        <v>6.8074411899999996</v>
      </c>
      <c r="BP5" s="1">
        <v>8.0086638899999993</v>
      </c>
      <c r="BQ5" s="1">
        <v>6.05894274</v>
      </c>
      <c r="BR5" s="1">
        <v>6.3398548899999998</v>
      </c>
      <c r="BS5" s="1">
        <v>3.0482717300000002</v>
      </c>
      <c r="BT5" s="1">
        <v>2.8146097499999998</v>
      </c>
      <c r="BU5" s="1">
        <v>2.9719966000000002</v>
      </c>
      <c r="BV5" s="1">
        <v>5.3846673200000001</v>
      </c>
      <c r="BW5" s="1">
        <v>8.7161854200000004</v>
      </c>
      <c r="BX5" s="1">
        <v>5.6259634600000004</v>
      </c>
      <c r="BY5" s="1">
        <v>6.9716018399999999</v>
      </c>
      <c r="BZ5" s="1">
        <v>2.9708456000000001</v>
      </c>
      <c r="CA5" s="1">
        <v>8.6184749899999993</v>
      </c>
      <c r="CB5" s="1">
        <v>8.0494059599999996</v>
      </c>
      <c r="CC5" s="1">
        <v>3.81934241</v>
      </c>
      <c r="CD5" s="1">
        <v>4.0204446999999996</v>
      </c>
      <c r="CE5" s="1">
        <v>7.0624648399999996</v>
      </c>
      <c r="CF5" s="1">
        <v>9.2339106999999991</v>
      </c>
      <c r="CG5" s="1">
        <v>9.3125821099999992</v>
      </c>
      <c r="CH5" s="1">
        <v>7.40429738</v>
      </c>
      <c r="CI5" s="1">
        <v>9.2883551000000004</v>
      </c>
      <c r="CJ5" s="1">
        <v>6.1528944900000004</v>
      </c>
      <c r="CK5" s="1">
        <v>5.7268756200000004</v>
      </c>
      <c r="CL5" s="1">
        <v>11.0752056</v>
      </c>
      <c r="CM5" s="1">
        <v>10.6504048</v>
      </c>
      <c r="CN5" s="1">
        <v>10.551784</v>
      </c>
      <c r="CO5" s="1">
        <v>8.9033491799999993</v>
      </c>
      <c r="CP5" s="1">
        <v>9.9520091399999995</v>
      </c>
      <c r="CQ5" s="1">
        <v>10.3135665</v>
      </c>
      <c r="CR5" s="1">
        <v>8.47785191</v>
      </c>
      <c r="CS5" s="1">
        <v>9.3217408600000002</v>
      </c>
    </row>
    <row r="6" spans="1:97">
      <c r="A6" s="1"/>
      <c r="B6" s="1" t="s">
        <v>104</v>
      </c>
      <c r="C6" s="1">
        <f>MEDIAN(C3:C5)</f>
        <v>3.8279702599999998</v>
      </c>
      <c r="D6" s="1">
        <f t="shared" ref="D6:BO6" si="0">MEDIAN(D3:D5)</f>
        <v>4.3422463599999999</v>
      </c>
      <c r="E6" s="1">
        <f t="shared" si="0"/>
        <v>7.2358450899999998</v>
      </c>
      <c r="F6" s="1">
        <f t="shared" si="0"/>
        <v>7.4339096600000003</v>
      </c>
      <c r="G6" s="1">
        <f t="shared" si="0"/>
        <v>5.1647240700000001</v>
      </c>
      <c r="H6" s="1">
        <f t="shared" si="0"/>
        <v>5.56812606</v>
      </c>
      <c r="I6" s="1">
        <f t="shared" si="0"/>
        <v>6.57592131</v>
      </c>
      <c r="J6" s="1">
        <f t="shared" si="0"/>
        <v>5.7629798299999999</v>
      </c>
      <c r="K6" s="1">
        <f t="shared" si="0"/>
        <v>3.6896540999999998</v>
      </c>
      <c r="L6" s="1">
        <f t="shared" si="0"/>
        <v>5.9359669200000003</v>
      </c>
      <c r="M6" s="1">
        <f t="shared" si="0"/>
        <v>3.5664908099999999</v>
      </c>
      <c r="N6" s="1">
        <f t="shared" si="0"/>
        <v>7.30972358</v>
      </c>
      <c r="O6" s="1">
        <f t="shared" si="0"/>
        <v>4.3080698100000001</v>
      </c>
      <c r="P6" s="1">
        <f t="shared" si="0"/>
        <v>6.2532381600000004</v>
      </c>
      <c r="Q6" s="1">
        <f t="shared" si="0"/>
        <v>7.11096138</v>
      </c>
      <c r="R6" s="1">
        <f t="shared" si="0"/>
        <v>6.5679753200000004</v>
      </c>
      <c r="S6" s="1">
        <f t="shared" si="0"/>
        <v>6.74977581</v>
      </c>
      <c r="T6" s="1">
        <f t="shared" si="0"/>
        <v>6.6680391800000001</v>
      </c>
      <c r="U6" s="1">
        <f t="shared" si="0"/>
        <v>3.9218263599999998</v>
      </c>
      <c r="V6" s="1">
        <f t="shared" si="0"/>
        <v>3.9729719000000001</v>
      </c>
      <c r="W6" s="1">
        <f t="shared" si="0"/>
        <v>6.5124507400000002</v>
      </c>
      <c r="X6" s="1">
        <f t="shared" si="0"/>
        <v>4.8126653299999997</v>
      </c>
      <c r="Y6" s="1">
        <f t="shared" si="0"/>
        <v>6.7698105999999996</v>
      </c>
      <c r="Z6" s="1">
        <f t="shared" si="0"/>
        <v>5.3426832400000004</v>
      </c>
      <c r="AA6" s="1">
        <f t="shared" si="0"/>
        <v>3.7092737800000002</v>
      </c>
      <c r="AB6" s="1">
        <f t="shared" si="0"/>
        <v>7.2391542400000004</v>
      </c>
      <c r="AC6" s="1">
        <f t="shared" si="0"/>
        <v>6.7881786699999997</v>
      </c>
      <c r="AD6" s="1">
        <f t="shared" si="0"/>
        <v>4.3365154400000003</v>
      </c>
      <c r="AE6" s="1">
        <f t="shared" si="0"/>
        <v>4.2014679199999998</v>
      </c>
      <c r="AF6" s="1">
        <f t="shared" si="0"/>
        <v>6.24297082</v>
      </c>
      <c r="AG6" s="1">
        <f t="shared" si="0"/>
        <v>5.2478904799999997</v>
      </c>
      <c r="AH6" s="1">
        <f t="shared" si="0"/>
        <v>6.5854860000000004</v>
      </c>
      <c r="AI6" s="1">
        <f t="shared" si="0"/>
        <v>7.4024782399999998</v>
      </c>
      <c r="AJ6" s="1">
        <f t="shared" si="0"/>
        <v>6.9611394100000004</v>
      </c>
      <c r="AK6" s="1">
        <f t="shared" si="0"/>
        <v>5.5164051699999996</v>
      </c>
      <c r="AL6" s="1">
        <f t="shared" si="0"/>
        <v>4.5253161400000002</v>
      </c>
      <c r="AM6" s="1">
        <f t="shared" si="0"/>
        <v>7.3546404699999997</v>
      </c>
      <c r="AN6" s="1">
        <f t="shared" si="0"/>
        <v>8.2994037600000006</v>
      </c>
      <c r="AO6" s="1">
        <f t="shared" si="0"/>
        <v>5.37777364</v>
      </c>
      <c r="AP6" s="1">
        <f t="shared" si="0"/>
        <v>3.9520272699999999</v>
      </c>
      <c r="AQ6" s="1">
        <f t="shared" si="0"/>
        <v>5.7796863299999996</v>
      </c>
      <c r="AR6" s="1">
        <f t="shared" si="0"/>
        <v>7.6408185299999998</v>
      </c>
      <c r="AS6" s="1">
        <f t="shared" si="0"/>
        <v>7.50619323</v>
      </c>
      <c r="AT6" s="1">
        <f t="shared" si="0"/>
        <v>7.60392767</v>
      </c>
      <c r="AU6" s="1">
        <f t="shared" si="0"/>
        <v>8.1020033599999994</v>
      </c>
      <c r="AV6" s="1">
        <f t="shared" si="0"/>
        <v>7.4643925800000002</v>
      </c>
      <c r="AW6" s="1">
        <f t="shared" si="0"/>
        <v>8.5354781000000006</v>
      </c>
      <c r="AX6" s="1">
        <f t="shared" si="0"/>
        <v>8.5782382599999991</v>
      </c>
      <c r="AY6" s="1">
        <f t="shared" si="0"/>
        <v>3.7785452199999998</v>
      </c>
      <c r="AZ6" s="1">
        <f t="shared" si="0"/>
        <v>5.1652138900000004</v>
      </c>
      <c r="BA6" s="1">
        <f t="shared" si="0"/>
        <v>7.2445901499999996</v>
      </c>
      <c r="BB6" s="1">
        <f t="shared" si="0"/>
        <v>6.26571151</v>
      </c>
      <c r="BC6" s="1">
        <f t="shared" si="0"/>
        <v>8.2571198399999997</v>
      </c>
      <c r="BD6" s="1">
        <f t="shared" si="0"/>
        <v>8.0611896000000005</v>
      </c>
      <c r="BE6" s="1">
        <f t="shared" si="0"/>
        <v>7.0923124299999998</v>
      </c>
      <c r="BF6" s="1">
        <f t="shared" si="0"/>
        <v>6.5884711500000002</v>
      </c>
      <c r="BG6" s="1">
        <f t="shared" si="0"/>
        <v>6.8671187900000001</v>
      </c>
      <c r="BH6" s="1">
        <f t="shared" si="0"/>
        <v>6.21625198</v>
      </c>
      <c r="BI6" s="1">
        <f t="shared" si="0"/>
        <v>7.2158068200000001</v>
      </c>
      <c r="BJ6" s="1">
        <f t="shared" si="0"/>
        <v>3.29055579</v>
      </c>
      <c r="BK6" s="1">
        <f t="shared" si="0"/>
        <v>7.5481515300000002</v>
      </c>
      <c r="BL6" s="1">
        <f t="shared" si="0"/>
        <v>3.84564181</v>
      </c>
      <c r="BM6" s="1">
        <f t="shared" si="0"/>
        <v>8.1409635999999992</v>
      </c>
      <c r="BN6" s="1">
        <f t="shared" si="0"/>
        <v>7.4032351900000002</v>
      </c>
      <c r="BO6" s="1">
        <f t="shared" si="0"/>
        <v>6.8074411899999996</v>
      </c>
      <c r="BP6" s="1">
        <f t="shared" ref="BP6:CK6" si="1">MEDIAN(BP3:BP5)</f>
        <v>6.9388879799999996</v>
      </c>
      <c r="BQ6" s="1">
        <f t="shared" si="1"/>
        <v>5.9040395999999999</v>
      </c>
      <c r="BR6" s="1">
        <f t="shared" si="1"/>
        <v>6.3398548899999998</v>
      </c>
      <c r="BS6" s="1">
        <f t="shared" si="1"/>
        <v>3.0510260599999999</v>
      </c>
      <c r="BT6" s="1">
        <f t="shared" si="1"/>
        <v>3.4572829899999999</v>
      </c>
      <c r="BU6" s="1">
        <f t="shared" si="1"/>
        <v>3.27456674</v>
      </c>
      <c r="BV6" s="1">
        <f t="shared" si="1"/>
        <v>4.9139179300000002</v>
      </c>
      <c r="BW6" s="1">
        <f t="shared" si="1"/>
        <v>7.50944871</v>
      </c>
      <c r="BX6" s="1">
        <f t="shared" si="1"/>
        <v>5.8343616300000001</v>
      </c>
      <c r="BY6" s="1">
        <f t="shared" si="1"/>
        <v>6.9716018399999999</v>
      </c>
      <c r="BZ6" s="1">
        <f t="shared" si="1"/>
        <v>3.4166269100000002</v>
      </c>
      <c r="CA6" s="1">
        <f t="shared" si="1"/>
        <v>7.4081767100000002</v>
      </c>
      <c r="CB6" s="1">
        <f t="shared" si="1"/>
        <v>7.6038592899999999</v>
      </c>
      <c r="CC6" s="1">
        <f t="shared" si="1"/>
        <v>4.3701558900000004</v>
      </c>
      <c r="CD6" s="1">
        <f t="shared" si="1"/>
        <v>4.0204446999999996</v>
      </c>
      <c r="CE6" s="1">
        <f t="shared" si="1"/>
        <v>5.9995786300000002</v>
      </c>
      <c r="CF6" s="1">
        <f t="shared" si="1"/>
        <v>9.2339106999999991</v>
      </c>
      <c r="CG6" s="1">
        <f t="shared" si="1"/>
        <v>9.3125821099999992</v>
      </c>
      <c r="CH6" s="1">
        <f t="shared" si="1"/>
        <v>7.40429738</v>
      </c>
      <c r="CI6" s="1">
        <f t="shared" si="1"/>
        <v>9.2883551000000004</v>
      </c>
      <c r="CJ6" s="1">
        <f t="shared" si="1"/>
        <v>5.1083113100000004</v>
      </c>
      <c r="CK6" s="1">
        <f t="shared" si="1"/>
        <v>4.9681398100000003</v>
      </c>
      <c r="CL6" s="1">
        <f t="shared" ref="CL6" si="2">MEDIAN(CL3:CL5)</f>
        <v>11.0752056</v>
      </c>
      <c r="CM6" s="1">
        <f t="shared" ref="CM6" si="3">MEDIAN(CM3:CM5)</f>
        <v>10.6504048</v>
      </c>
      <c r="CN6" s="1">
        <f t="shared" ref="CN6" si="4">MEDIAN(CN3:CN5)</f>
        <v>10.551784</v>
      </c>
      <c r="CO6" s="1">
        <f t="shared" ref="CO6" si="5">MEDIAN(CO3:CO5)</f>
        <v>8.9033491799999993</v>
      </c>
      <c r="CP6" s="1">
        <f t="shared" ref="CP6" si="6">MEDIAN(CP3:CP5)</f>
        <v>9.9520091399999995</v>
      </c>
      <c r="CQ6" s="1">
        <f t="shared" ref="CQ6" si="7">MEDIAN(CQ3:CQ5)</f>
        <v>10.3135665</v>
      </c>
      <c r="CR6" s="1">
        <f t="shared" ref="CR6" si="8">MEDIAN(CR3:CR5)</f>
        <v>8.47785191</v>
      </c>
      <c r="CS6" s="1">
        <f t="shared" ref="CS6" si="9">MEDIAN(CS3:CS5)</f>
        <v>9.3217408600000002</v>
      </c>
    </row>
    <row r="7" spans="1:97">
      <c r="A7" s="1"/>
      <c r="B7" s="2" t="s">
        <v>105</v>
      </c>
      <c r="C7" s="1">
        <f>ROUNDUP(C6,3)</f>
        <v>3.8279999999999998</v>
      </c>
      <c r="D7" s="1">
        <f t="shared" ref="D7:BO7" si="10">ROUNDUP(D6,3)</f>
        <v>4.343</v>
      </c>
      <c r="E7" s="1">
        <f t="shared" si="10"/>
        <v>7.2360000000000007</v>
      </c>
      <c r="F7" s="1">
        <f t="shared" si="10"/>
        <v>7.4340000000000002</v>
      </c>
      <c r="G7" s="1">
        <f t="shared" si="10"/>
        <v>5.165</v>
      </c>
      <c r="H7" s="1">
        <f t="shared" si="10"/>
        <v>5.569</v>
      </c>
      <c r="I7" s="1">
        <f t="shared" si="10"/>
        <v>6.5760000000000005</v>
      </c>
      <c r="J7" s="1">
        <f t="shared" si="10"/>
        <v>5.7629999999999999</v>
      </c>
      <c r="K7" s="1">
        <f t="shared" si="10"/>
        <v>3.69</v>
      </c>
      <c r="L7" s="1">
        <f t="shared" si="10"/>
        <v>5.9359999999999999</v>
      </c>
      <c r="M7" s="1">
        <f t="shared" si="10"/>
        <v>3.5669999999999997</v>
      </c>
      <c r="N7" s="1">
        <f t="shared" si="10"/>
        <v>7.3100000000000005</v>
      </c>
      <c r="O7" s="1">
        <f t="shared" si="10"/>
        <v>4.3090000000000002</v>
      </c>
      <c r="P7" s="1">
        <f t="shared" si="10"/>
        <v>6.2540000000000004</v>
      </c>
      <c r="Q7" s="1">
        <f t="shared" si="10"/>
        <v>7.1110000000000007</v>
      </c>
      <c r="R7" s="1">
        <f t="shared" si="10"/>
        <v>6.5680000000000005</v>
      </c>
      <c r="S7" s="1">
        <f t="shared" si="10"/>
        <v>6.75</v>
      </c>
      <c r="T7" s="1">
        <f t="shared" si="10"/>
        <v>6.6690000000000005</v>
      </c>
      <c r="U7" s="1">
        <f t="shared" si="10"/>
        <v>3.9219999999999997</v>
      </c>
      <c r="V7" s="1">
        <f t="shared" si="10"/>
        <v>3.9729999999999999</v>
      </c>
      <c r="W7" s="1">
        <f t="shared" si="10"/>
        <v>6.5129999999999999</v>
      </c>
      <c r="X7" s="1">
        <f t="shared" si="10"/>
        <v>4.8130000000000006</v>
      </c>
      <c r="Y7" s="1">
        <f t="shared" si="10"/>
        <v>6.7700000000000005</v>
      </c>
      <c r="Z7" s="1">
        <f t="shared" si="10"/>
        <v>5.343</v>
      </c>
      <c r="AA7" s="1">
        <f t="shared" si="10"/>
        <v>3.71</v>
      </c>
      <c r="AB7" s="1">
        <f t="shared" si="10"/>
        <v>7.24</v>
      </c>
      <c r="AC7" s="1">
        <f t="shared" si="10"/>
        <v>6.7890000000000006</v>
      </c>
      <c r="AD7" s="1">
        <f t="shared" si="10"/>
        <v>4.3370000000000006</v>
      </c>
      <c r="AE7" s="1">
        <f t="shared" si="10"/>
        <v>4.202</v>
      </c>
      <c r="AF7" s="1">
        <f t="shared" si="10"/>
        <v>6.2430000000000003</v>
      </c>
      <c r="AG7" s="1">
        <f t="shared" si="10"/>
        <v>5.2480000000000002</v>
      </c>
      <c r="AH7" s="1">
        <f t="shared" si="10"/>
        <v>6.5860000000000003</v>
      </c>
      <c r="AI7" s="1">
        <f t="shared" si="10"/>
        <v>7.4030000000000005</v>
      </c>
      <c r="AJ7" s="1">
        <f t="shared" si="10"/>
        <v>6.9620000000000006</v>
      </c>
      <c r="AK7" s="1">
        <f t="shared" si="10"/>
        <v>5.5170000000000003</v>
      </c>
      <c r="AL7" s="1">
        <f t="shared" si="10"/>
        <v>4.5260000000000007</v>
      </c>
      <c r="AM7" s="1">
        <f t="shared" si="10"/>
        <v>7.3550000000000004</v>
      </c>
      <c r="AN7" s="1">
        <f t="shared" si="10"/>
        <v>8.2999999999999989</v>
      </c>
      <c r="AO7" s="1">
        <f t="shared" si="10"/>
        <v>5.3780000000000001</v>
      </c>
      <c r="AP7" s="1">
        <f t="shared" si="10"/>
        <v>3.9529999999999998</v>
      </c>
      <c r="AQ7" s="1">
        <f t="shared" si="10"/>
        <v>5.78</v>
      </c>
      <c r="AR7" s="1">
        <f t="shared" si="10"/>
        <v>7.641</v>
      </c>
      <c r="AS7" s="1">
        <f t="shared" si="10"/>
        <v>7.5070000000000006</v>
      </c>
      <c r="AT7" s="1">
        <f t="shared" si="10"/>
        <v>7.6040000000000001</v>
      </c>
      <c r="AU7" s="1">
        <f t="shared" si="10"/>
        <v>8.1029999999999998</v>
      </c>
      <c r="AV7" s="1">
        <f t="shared" si="10"/>
        <v>7.4650000000000007</v>
      </c>
      <c r="AW7" s="1">
        <f t="shared" si="10"/>
        <v>8.5359999999999996</v>
      </c>
      <c r="AX7" s="1">
        <f t="shared" si="10"/>
        <v>8.5789999999999988</v>
      </c>
      <c r="AY7" s="1">
        <f t="shared" si="10"/>
        <v>3.7789999999999999</v>
      </c>
      <c r="AZ7" s="1">
        <f t="shared" si="10"/>
        <v>5.1660000000000004</v>
      </c>
      <c r="BA7" s="1">
        <f t="shared" si="10"/>
        <v>7.2450000000000001</v>
      </c>
      <c r="BB7" s="1">
        <f t="shared" si="10"/>
        <v>6.266</v>
      </c>
      <c r="BC7" s="1">
        <f t="shared" si="10"/>
        <v>8.2579999999999991</v>
      </c>
      <c r="BD7" s="1">
        <f t="shared" si="10"/>
        <v>8.0619999999999994</v>
      </c>
      <c r="BE7" s="1">
        <f t="shared" si="10"/>
        <v>7.093</v>
      </c>
      <c r="BF7" s="1">
        <f t="shared" si="10"/>
        <v>6.5890000000000004</v>
      </c>
      <c r="BG7" s="1">
        <f t="shared" si="10"/>
        <v>6.8680000000000003</v>
      </c>
      <c r="BH7" s="1">
        <f t="shared" si="10"/>
        <v>6.2170000000000005</v>
      </c>
      <c r="BI7" s="1">
        <f t="shared" si="10"/>
        <v>7.2160000000000002</v>
      </c>
      <c r="BJ7" s="1">
        <f t="shared" si="10"/>
        <v>3.2909999999999999</v>
      </c>
      <c r="BK7" s="1">
        <f t="shared" si="10"/>
        <v>7.5490000000000004</v>
      </c>
      <c r="BL7" s="1">
        <f t="shared" si="10"/>
        <v>3.8460000000000001</v>
      </c>
      <c r="BM7" s="1">
        <f t="shared" si="10"/>
        <v>8.141</v>
      </c>
      <c r="BN7" s="1">
        <f t="shared" si="10"/>
        <v>7.4039999999999999</v>
      </c>
      <c r="BO7" s="1">
        <f t="shared" si="10"/>
        <v>6.8080000000000007</v>
      </c>
      <c r="BP7" s="1">
        <f t="shared" ref="BP7:CS7" si="11">ROUNDUP(BP6,3)</f>
        <v>6.9390000000000001</v>
      </c>
      <c r="BQ7" s="1">
        <f t="shared" si="11"/>
        <v>5.9050000000000002</v>
      </c>
      <c r="BR7" s="1">
        <f t="shared" si="11"/>
        <v>6.3400000000000007</v>
      </c>
      <c r="BS7" s="1">
        <f t="shared" si="11"/>
        <v>3.052</v>
      </c>
      <c r="BT7" s="1">
        <f t="shared" si="11"/>
        <v>3.4579999999999997</v>
      </c>
      <c r="BU7" s="1">
        <f t="shared" si="11"/>
        <v>3.2749999999999999</v>
      </c>
      <c r="BV7" s="1">
        <f t="shared" si="11"/>
        <v>4.9140000000000006</v>
      </c>
      <c r="BW7" s="1">
        <f t="shared" si="11"/>
        <v>7.5100000000000007</v>
      </c>
      <c r="BX7" s="1">
        <f t="shared" si="11"/>
        <v>5.835</v>
      </c>
      <c r="BY7" s="1">
        <f t="shared" si="11"/>
        <v>6.9720000000000004</v>
      </c>
      <c r="BZ7" s="1">
        <f t="shared" si="11"/>
        <v>3.4169999999999998</v>
      </c>
      <c r="CA7" s="1">
        <f t="shared" si="11"/>
        <v>7.4090000000000007</v>
      </c>
      <c r="CB7" s="1">
        <f t="shared" si="11"/>
        <v>7.6040000000000001</v>
      </c>
      <c r="CC7" s="1">
        <f t="shared" si="11"/>
        <v>4.3710000000000004</v>
      </c>
      <c r="CD7" s="1">
        <f t="shared" si="11"/>
        <v>4.0209999999999999</v>
      </c>
      <c r="CE7" s="1">
        <f t="shared" si="11"/>
        <v>6</v>
      </c>
      <c r="CF7" s="1">
        <f t="shared" si="11"/>
        <v>9.234</v>
      </c>
      <c r="CG7" s="1">
        <f t="shared" si="11"/>
        <v>9.3129999999999988</v>
      </c>
      <c r="CH7" s="1">
        <f t="shared" si="11"/>
        <v>7.4050000000000002</v>
      </c>
      <c r="CI7" s="1">
        <f t="shared" si="11"/>
        <v>9.2889999999999997</v>
      </c>
      <c r="CJ7" s="1">
        <f t="shared" si="11"/>
        <v>5.109</v>
      </c>
      <c r="CK7" s="1">
        <f t="shared" si="11"/>
        <v>4.9690000000000003</v>
      </c>
      <c r="CL7" s="1">
        <f t="shared" si="11"/>
        <v>11.075999999999999</v>
      </c>
      <c r="CM7" s="1">
        <f t="shared" si="11"/>
        <v>10.651</v>
      </c>
      <c r="CN7" s="1">
        <f t="shared" si="11"/>
        <v>10.552</v>
      </c>
      <c r="CO7" s="1">
        <f t="shared" si="11"/>
        <v>8.9039999999999999</v>
      </c>
      <c r="CP7" s="1">
        <f t="shared" si="11"/>
        <v>9.9529999999999994</v>
      </c>
      <c r="CQ7" s="1">
        <f t="shared" si="11"/>
        <v>10.314</v>
      </c>
      <c r="CR7" s="1">
        <f t="shared" si="11"/>
        <v>8.4779999999999998</v>
      </c>
      <c r="CS7" s="1">
        <f t="shared" si="11"/>
        <v>9.3219999999999992</v>
      </c>
    </row>
    <row r="11" spans="1:97">
      <c r="A11" s="1" t="s">
        <v>50</v>
      </c>
      <c r="B11" s="1" t="s">
        <v>49</v>
      </c>
      <c r="C11" s="1" t="s">
        <v>48</v>
      </c>
      <c r="D11" s="1" t="s">
        <v>47</v>
      </c>
      <c r="E11" s="1" t="s">
        <v>46</v>
      </c>
      <c r="F11" s="1" t="s">
        <v>45</v>
      </c>
      <c r="G11" s="1" t="s">
        <v>44</v>
      </c>
      <c r="H11" s="1" t="s">
        <v>43</v>
      </c>
      <c r="I11" s="1" t="s">
        <v>42</v>
      </c>
      <c r="J11" s="1" t="s">
        <v>41</v>
      </c>
      <c r="K11" s="1" t="s">
        <v>40</v>
      </c>
      <c r="L11" s="1" t="s">
        <v>39</v>
      </c>
      <c r="M11" s="1" t="s">
        <v>38</v>
      </c>
      <c r="N11" s="1" t="s">
        <v>37</v>
      </c>
      <c r="O11" s="1" t="s">
        <v>36</v>
      </c>
      <c r="P11" s="1" t="s">
        <v>35</v>
      </c>
      <c r="Q11" s="1" t="s">
        <v>34</v>
      </c>
      <c r="R11" s="1" t="s">
        <v>33</v>
      </c>
      <c r="S11" s="1" t="s">
        <v>32</v>
      </c>
      <c r="T11" s="1" t="s">
        <v>31</v>
      </c>
      <c r="U11" s="1" t="s">
        <v>30</v>
      </c>
      <c r="V11" s="1" t="s">
        <v>29</v>
      </c>
      <c r="W11" s="1" t="s">
        <v>28</v>
      </c>
      <c r="X11" s="1" t="s">
        <v>27</v>
      </c>
      <c r="Y11" s="1" t="s">
        <v>26</v>
      </c>
      <c r="Z11" s="1" t="s">
        <v>25</v>
      </c>
      <c r="AA11" s="1" t="s">
        <v>24</v>
      </c>
      <c r="AB11" s="1" t="s">
        <v>23</v>
      </c>
      <c r="AC11" s="1" t="s">
        <v>22</v>
      </c>
      <c r="AD11" s="1" t="s">
        <v>21</v>
      </c>
      <c r="AE11" s="1" t="s">
        <v>20</v>
      </c>
      <c r="AF11" s="1" t="s">
        <v>19</v>
      </c>
      <c r="AG11" s="1" t="s">
        <v>18</v>
      </c>
      <c r="AH11" s="1" t="s">
        <v>17</v>
      </c>
      <c r="AI11" s="1" t="s">
        <v>16</v>
      </c>
      <c r="AJ11" s="1" t="s">
        <v>15</v>
      </c>
      <c r="AK11" s="1" t="s">
        <v>14</v>
      </c>
      <c r="AL11" s="1" t="s">
        <v>13</v>
      </c>
      <c r="AM11" s="1" t="s">
        <v>12</v>
      </c>
      <c r="AN11" s="1" t="s">
        <v>11</v>
      </c>
      <c r="AO11" s="1" t="s">
        <v>10</v>
      </c>
      <c r="AP11" s="1" t="s">
        <v>9</v>
      </c>
      <c r="AQ11" s="1" t="s">
        <v>8</v>
      </c>
      <c r="AR11" s="1" t="s">
        <v>7</v>
      </c>
      <c r="AS11" s="1" t="s">
        <v>89</v>
      </c>
      <c r="AT11" s="1" t="s">
        <v>88</v>
      </c>
      <c r="AU11" s="1" t="s">
        <v>87</v>
      </c>
      <c r="AV11" s="1" t="s">
        <v>86</v>
      </c>
      <c r="AW11" s="1" t="s">
        <v>85</v>
      </c>
      <c r="AX11" s="1" t="s">
        <v>84</v>
      </c>
      <c r="AY11" s="1" t="s">
        <v>83</v>
      </c>
      <c r="AZ11" s="1" t="s">
        <v>82</v>
      </c>
      <c r="BA11" s="1" t="s">
        <v>81</v>
      </c>
      <c r="BB11" s="1" t="s">
        <v>80</v>
      </c>
      <c r="BC11" s="1" t="s">
        <v>79</v>
      </c>
      <c r="BD11" s="1" t="s">
        <v>78</v>
      </c>
      <c r="BE11" s="1" t="s">
        <v>77</v>
      </c>
      <c r="BF11" s="1" t="s">
        <v>76</v>
      </c>
      <c r="BG11" s="1" t="s">
        <v>75</v>
      </c>
      <c r="BH11" s="1" t="s">
        <v>74</v>
      </c>
      <c r="BI11" s="1" t="s">
        <v>73</v>
      </c>
      <c r="BJ11" s="1" t="s">
        <v>72</v>
      </c>
      <c r="BK11" s="1" t="s">
        <v>71</v>
      </c>
      <c r="BL11" s="1" t="s">
        <v>70</v>
      </c>
      <c r="BM11" s="1" t="s">
        <v>69</v>
      </c>
      <c r="BN11" s="1" t="s">
        <v>68</v>
      </c>
      <c r="BO11" s="1" t="s">
        <v>67</v>
      </c>
      <c r="BP11" s="1" t="s">
        <v>66</v>
      </c>
      <c r="BQ11" s="1" t="s">
        <v>65</v>
      </c>
      <c r="BR11" s="1" t="s">
        <v>64</v>
      </c>
      <c r="BS11" s="1" t="s">
        <v>63</v>
      </c>
      <c r="BT11" s="1" t="s">
        <v>62</v>
      </c>
      <c r="BU11" s="1" t="s">
        <v>61</v>
      </c>
      <c r="BV11" s="1" t="s">
        <v>60</v>
      </c>
      <c r="BW11" s="1" t="s">
        <v>59</v>
      </c>
      <c r="BX11" s="1" t="s">
        <v>58</v>
      </c>
      <c r="BY11" s="1" t="s">
        <v>57</v>
      </c>
      <c r="BZ11" s="1" t="s">
        <v>56</v>
      </c>
      <c r="CA11" s="1" t="s">
        <v>55</v>
      </c>
      <c r="CB11" s="1" t="s">
        <v>54</v>
      </c>
      <c r="CC11" s="1" t="s">
        <v>53</v>
      </c>
      <c r="CD11" s="1" t="s">
        <v>52</v>
      </c>
      <c r="CE11" s="1" t="s">
        <v>93</v>
      </c>
      <c r="CF11" s="1" t="s">
        <v>92</v>
      </c>
      <c r="CG11" s="1" t="s">
        <v>91</v>
      </c>
      <c r="CH11" s="1" t="s">
        <v>90</v>
      </c>
      <c r="CI11" s="1" t="s">
        <v>95</v>
      </c>
      <c r="CJ11" s="1" t="s">
        <v>94</v>
      </c>
      <c r="CK11" s="1" t="s">
        <v>103</v>
      </c>
      <c r="CL11" s="1" t="s">
        <v>102</v>
      </c>
      <c r="CM11" s="1" t="s">
        <v>101</v>
      </c>
      <c r="CN11" s="1" t="s">
        <v>100</v>
      </c>
      <c r="CO11" s="1" t="s">
        <v>99</v>
      </c>
      <c r="CP11" s="1" t="s">
        <v>98</v>
      </c>
      <c r="CQ11" s="1" t="s">
        <v>97</v>
      </c>
      <c r="CR11" s="1" t="s">
        <v>96</v>
      </c>
    </row>
    <row r="12" spans="1:97">
      <c r="A12" s="1" t="s">
        <v>1</v>
      </c>
      <c r="B12" s="1">
        <v>3.8279999999999998</v>
      </c>
      <c r="C12" s="1">
        <v>4.343</v>
      </c>
      <c r="D12" s="1">
        <v>7.2360000000000007</v>
      </c>
      <c r="E12" s="1">
        <v>7.4340000000000002</v>
      </c>
      <c r="F12" s="1">
        <v>5.165</v>
      </c>
      <c r="G12" s="1">
        <v>5.569</v>
      </c>
      <c r="H12" s="1">
        <v>6.5760000000000005</v>
      </c>
      <c r="I12" s="1">
        <v>5.7629999999999999</v>
      </c>
      <c r="J12" s="1">
        <v>3.69</v>
      </c>
      <c r="K12" s="1">
        <v>5.9359999999999999</v>
      </c>
      <c r="L12" s="1">
        <v>3.5669999999999997</v>
      </c>
      <c r="M12" s="1">
        <v>7.3100000000000005</v>
      </c>
      <c r="N12" s="1">
        <v>4.3090000000000002</v>
      </c>
      <c r="O12" s="1">
        <v>6.2540000000000004</v>
      </c>
      <c r="P12" s="1">
        <v>7.1110000000000007</v>
      </c>
      <c r="Q12" s="1">
        <v>6.5680000000000005</v>
      </c>
      <c r="R12" s="1">
        <v>6.75</v>
      </c>
      <c r="S12" s="1">
        <v>6.6690000000000005</v>
      </c>
      <c r="T12" s="1">
        <v>3.9219999999999997</v>
      </c>
      <c r="U12" s="1">
        <v>3.9729999999999999</v>
      </c>
      <c r="V12" s="1">
        <v>6.5129999999999999</v>
      </c>
      <c r="W12" s="1">
        <v>4.8130000000000006</v>
      </c>
      <c r="X12" s="1">
        <v>6.7700000000000005</v>
      </c>
      <c r="Y12" s="1">
        <v>5.343</v>
      </c>
      <c r="Z12" s="1">
        <v>3.71</v>
      </c>
      <c r="AA12" s="1">
        <v>7.24</v>
      </c>
      <c r="AB12" s="1">
        <v>6.7890000000000006</v>
      </c>
      <c r="AC12" s="1">
        <v>4.3370000000000006</v>
      </c>
      <c r="AD12" s="1">
        <v>4.202</v>
      </c>
      <c r="AE12" s="1">
        <v>6.2430000000000003</v>
      </c>
      <c r="AF12" s="1">
        <v>5.2480000000000002</v>
      </c>
      <c r="AG12" s="1">
        <v>6.5860000000000003</v>
      </c>
      <c r="AH12" s="1">
        <v>7.4030000000000005</v>
      </c>
      <c r="AI12" s="1">
        <v>6.9620000000000006</v>
      </c>
      <c r="AJ12" s="1">
        <v>5.5170000000000003</v>
      </c>
      <c r="AK12" s="1">
        <v>4.5260000000000007</v>
      </c>
      <c r="AL12" s="1">
        <v>7.3550000000000004</v>
      </c>
      <c r="AM12" s="1">
        <v>8.2999999999999989</v>
      </c>
      <c r="AN12" s="1">
        <v>5.3780000000000001</v>
      </c>
      <c r="AO12" s="1">
        <v>3.9529999999999998</v>
      </c>
      <c r="AP12" s="1">
        <v>5.78</v>
      </c>
      <c r="AQ12" s="1">
        <v>7.641</v>
      </c>
      <c r="AR12" s="1">
        <v>7.5070000000000006</v>
      </c>
      <c r="AS12" s="1">
        <v>7.6040000000000001</v>
      </c>
      <c r="AT12" s="1">
        <v>8.1029999999999998</v>
      </c>
      <c r="AU12" s="1">
        <v>7.4650000000000007</v>
      </c>
      <c r="AV12" s="1">
        <v>8.5359999999999996</v>
      </c>
      <c r="AW12" s="1">
        <v>8.5789999999999988</v>
      </c>
      <c r="AX12" s="1">
        <v>3.7789999999999999</v>
      </c>
      <c r="AY12" s="1">
        <v>5.1660000000000004</v>
      </c>
      <c r="AZ12" s="1">
        <v>7.2450000000000001</v>
      </c>
      <c r="BA12" s="1">
        <v>6.266</v>
      </c>
      <c r="BB12" s="1">
        <v>8.2579999999999991</v>
      </c>
      <c r="BC12" s="1">
        <v>8.0619999999999994</v>
      </c>
      <c r="BD12" s="1">
        <v>7.093</v>
      </c>
      <c r="BE12" s="1">
        <v>6.5890000000000004</v>
      </c>
      <c r="BF12" s="1">
        <v>6.8680000000000003</v>
      </c>
      <c r="BG12" s="1">
        <v>6.2170000000000005</v>
      </c>
      <c r="BH12" s="1">
        <v>7.2160000000000002</v>
      </c>
      <c r="BI12" s="1">
        <v>3.2909999999999999</v>
      </c>
      <c r="BJ12" s="1">
        <v>7.5490000000000004</v>
      </c>
      <c r="BK12" s="1">
        <v>3.8460000000000001</v>
      </c>
      <c r="BL12" s="1">
        <v>8.141</v>
      </c>
      <c r="BM12" s="1">
        <v>7.4039999999999999</v>
      </c>
      <c r="BN12" s="1">
        <v>6.8080000000000007</v>
      </c>
      <c r="BO12" s="1">
        <v>6.9390000000000001</v>
      </c>
      <c r="BP12" s="1">
        <v>5.9050000000000002</v>
      </c>
      <c r="BQ12" s="1">
        <v>6.3400000000000007</v>
      </c>
      <c r="BR12" s="1">
        <v>3.052</v>
      </c>
      <c r="BS12" s="1">
        <v>3.4579999999999997</v>
      </c>
      <c r="BT12" s="1">
        <v>3.2749999999999999</v>
      </c>
      <c r="BU12" s="1">
        <v>4.9140000000000006</v>
      </c>
      <c r="BV12" s="1">
        <v>7.5100000000000007</v>
      </c>
      <c r="BW12" s="1">
        <v>5.835</v>
      </c>
      <c r="BX12" s="1">
        <v>6.9720000000000004</v>
      </c>
      <c r="BY12" s="1">
        <v>3.4169999999999998</v>
      </c>
      <c r="BZ12" s="1">
        <v>7.4090000000000007</v>
      </c>
      <c r="CA12" s="1">
        <v>7.6040000000000001</v>
      </c>
      <c r="CB12" s="1">
        <v>4.3710000000000004</v>
      </c>
      <c r="CC12" s="1">
        <v>4.0209999999999999</v>
      </c>
      <c r="CD12" s="1">
        <v>6</v>
      </c>
      <c r="CE12" s="1">
        <v>9.234</v>
      </c>
      <c r="CF12" s="1">
        <v>9.3129999999999988</v>
      </c>
      <c r="CG12" s="1">
        <v>7.4050000000000002</v>
      </c>
      <c r="CH12" s="1">
        <v>9.2889999999999997</v>
      </c>
      <c r="CI12" s="1">
        <v>5.109</v>
      </c>
      <c r="CJ12" s="1">
        <v>4.9690000000000003</v>
      </c>
      <c r="CK12" s="1">
        <v>11.075999999999999</v>
      </c>
      <c r="CL12" s="1">
        <v>10.651</v>
      </c>
      <c r="CM12" s="1">
        <v>10.552</v>
      </c>
      <c r="CN12" s="1">
        <v>8.9039999999999999</v>
      </c>
      <c r="CO12" s="1">
        <v>9.9529999999999994</v>
      </c>
      <c r="CP12" s="1">
        <v>10.314</v>
      </c>
      <c r="CQ12" s="1">
        <v>8.4779999999999998</v>
      </c>
      <c r="CR12" s="1">
        <v>9.3219999999999992</v>
      </c>
    </row>
    <row r="15" spans="1:97">
      <c r="A15" t="s">
        <v>51</v>
      </c>
      <c r="B15" t="s">
        <v>50</v>
      </c>
      <c r="C15" s="4" t="s">
        <v>49</v>
      </c>
      <c r="D15" s="4" t="s">
        <v>48</v>
      </c>
      <c r="E15" s="4" t="s">
        <v>47</v>
      </c>
      <c r="F15" s="4" t="s">
        <v>46</v>
      </c>
      <c r="G15" s="4" t="s">
        <v>45</v>
      </c>
      <c r="H15" s="4" t="s">
        <v>44</v>
      </c>
      <c r="I15" s="4" t="s">
        <v>43</v>
      </c>
      <c r="J15" s="4" t="s">
        <v>42</v>
      </c>
      <c r="K15" s="4" t="s">
        <v>41</v>
      </c>
      <c r="L15" s="4" t="s">
        <v>40</v>
      </c>
      <c r="M15" s="4" t="s">
        <v>39</v>
      </c>
      <c r="N15" s="4" t="s">
        <v>38</v>
      </c>
      <c r="O15" s="4" t="s">
        <v>37</v>
      </c>
      <c r="P15" s="4" t="s">
        <v>36</v>
      </c>
      <c r="Q15" s="4" t="s">
        <v>35</v>
      </c>
      <c r="R15" s="4" t="s">
        <v>34</v>
      </c>
      <c r="S15" s="4" t="s">
        <v>33</v>
      </c>
      <c r="T15" s="4" t="s">
        <v>32</v>
      </c>
      <c r="U15" s="4" t="s">
        <v>31</v>
      </c>
      <c r="V15" s="4" t="s">
        <v>30</v>
      </c>
      <c r="W15" s="4" t="s">
        <v>29</v>
      </c>
      <c r="X15" s="4" t="s">
        <v>28</v>
      </c>
      <c r="Y15" s="4" t="s">
        <v>27</v>
      </c>
      <c r="Z15" s="4" t="s">
        <v>26</v>
      </c>
      <c r="AA15" s="4" t="s">
        <v>25</v>
      </c>
      <c r="AB15" s="4" t="s">
        <v>24</v>
      </c>
      <c r="AC15" s="4" t="s">
        <v>23</v>
      </c>
      <c r="AD15" s="4" t="s">
        <v>22</v>
      </c>
      <c r="AE15" s="4" t="s">
        <v>21</v>
      </c>
      <c r="AF15" s="4" t="s">
        <v>20</v>
      </c>
      <c r="AG15" s="4" t="s">
        <v>19</v>
      </c>
      <c r="AH15" s="4" t="s">
        <v>18</v>
      </c>
      <c r="AI15" s="4" t="s">
        <v>17</v>
      </c>
      <c r="AJ15" s="4" t="s">
        <v>16</v>
      </c>
      <c r="AK15" s="4" t="s">
        <v>15</v>
      </c>
      <c r="AL15" s="4" t="s">
        <v>14</v>
      </c>
      <c r="AM15" s="4" t="s">
        <v>13</v>
      </c>
      <c r="AN15" s="4" t="s">
        <v>12</v>
      </c>
      <c r="AO15" s="4" t="s">
        <v>11</v>
      </c>
      <c r="AP15" s="4" t="s">
        <v>10</v>
      </c>
      <c r="AQ15" s="4" t="s">
        <v>9</v>
      </c>
      <c r="AR15" s="4" t="s">
        <v>8</v>
      </c>
      <c r="AS15" s="4" t="s">
        <v>7</v>
      </c>
      <c r="AT15" s="5" t="s">
        <v>89</v>
      </c>
      <c r="AU15" s="5" t="s">
        <v>88</v>
      </c>
      <c r="AV15" s="5" t="s">
        <v>87</v>
      </c>
      <c r="AW15" s="5" t="s">
        <v>86</v>
      </c>
      <c r="AX15" s="5" t="s">
        <v>85</v>
      </c>
      <c r="AY15" s="5" t="s">
        <v>84</v>
      </c>
      <c r="AZ15" s="5" t="s">
        <v>83</v>
      </c>
      <c r="BA15" s="5" t="s">
        <v>82</v>
      </c>
      <c r="BB15" s="5" t="s">
        <v>81</v>
      </c>
      <c r="BC15" s="5" t="s">
        <v>80</v>
      </c>
      <c r="BD15" s="5" t="s">
        <v>79</v>
      </c>
      <c r="BE15" s="5" t="s">
        <v>78</v>
      </c>
      <c r="BF15" s="5" t="s">
        <v>77</v>
      </c>
      <c r="BG15" s="5" t="s">
        <v>76</v>
      </c>
      <c r="BH15" s="5" t="s">
        <v>75</v>
      </c>
      <c r="BI15" s="5" t="s">
        <v>74</v>
      </c>
      <c r="BJ15" s="5" t="s">
        <v>73</v>
      </c>
      <c r="BK15" s="5" t="s">
        <v>72</v>
      </c>
      <c r="BL15" s="5" t="s">
        <v>71</v>
      </c>
      <c r="BM15" s="5" t="s">
        <v>70</v>
      </c>
      <c r="BN15" s="5" t="s">
        <v>69</v>
      </c>
      <c r="BO15" s="5" t="s">
        <v>68</v>
      </c>
      <c r="BP15" s="5" t="s">
        <v>67</v>
      </c>
      <c r="BQ15" s="5" t="s">
        <v>66</v>
      </c>
      <c r="BR15" s="5" t="s">
        <v>65</v>
      </c>
      <c r="BS15" s="5" t="s">
        <v>64</v>
      </c>
      <c r="BT15" s="5" t="s">
        <v>63</v>
      </c>
      <c r="BU15" s="5" t="s">
        <v>62</v>
      </c>
      <c r="BV15" s="5" t="s">
        <v>61</v>
      </c>
      <c r="BW15" s="5" t="s">
        <v>60</v>
      </c>
      <c r="BX15" s="5" t="s">
        <v>59</v>
      </c>
      <c r="BY15" s="5" t="s">
        <v>58</v>
      </c>
      <c r="BZ15" s="5" t="s">
        <v>57</v>
      </c>
      <c r="CA15" s="5" t="s">
        <v>56</v>
      </c>
      <c r="CB15" s="5" t="s">
        <v>55</v>
      </c>
      <c r="CC15" s="5" t="s">
        <v>54</v>
      </c>
      <c r="CD15" s="5" t="s">
        <v>53</v>
      </c>
      <c r="CE15" s="5" t="s">
        <v>52</v>
      </c>
      <c r="CF15" s="6" t="s">
        <v>93</v>
      </c>
      <c r="CG15" s="6" t="s">
        <v>92</v>
      </c>
      <c r="CH15" s="6" t="s">
        <v>91</v>
      </c>
      <c r="CI15" s="6" t="s">
        <v>90</v>
      </c>
      <c r="CJ15" s="7" t="s">
        <v>95</v>
      </c>
      <c r="CK15" s="7" t="s">
        <v>94</v>
      </c>
      <c r="CL15" s="8" t="s">
        <v>103</v>
      </c>
      <c r="CM15" s="8" t="s">
        <v>102</v>
      </c>
      <c r="CN15" s="8" t="s">
        <v>101</v>
      </c>
      <c r="CO15" s="8" t="s">
        <v>100</v>
      </c>
      <c r="CP15" s="8" t="s">
        <v>99</v>
      </c>
      <c r="CQ15" s="8" t="s">
        <v>98</v>
      </c>
      <c r="CR15" s="8" t="s">
        <v>97</v>
      </c>
      <c r="CS15" s="8" t="s">
        <v>96</v>
      </c>
    </row>
    <row r="16" spans="1:97">
      <c r="A16" t="s">
        <v>6</v>
      </c>
      <c r="B16" t="s">
        <v>5</v>
      </c>
      <c r="C16">
        <v>2.10705421114573</v>
      </c>
      <c r="D16">
        <v>2.58156723665972</v>
      </c>
      <c r="E16">
        <v>2.0465104226641802</v>
      </c>
      <c r="F16">
        <v>1.9242392583100301</v>
      </c>
      <c r="G16">
        <v>2.5232096141788598</v>
      </c>
      <c r="H16">
        <v>2.9770328804970201</v>
      </c>
      <c r="I16">
        <v>2.53407550539292</v>
      </c>
      <c r="J16">
        <v>2.0080491184296299</v>
      </c>
      <c r="K16">
        <v>2.30433510241535</v>
      </c>
      <c r="L16">
        <v>2.0095660800038102</v>
      </c>
      <c r="M16">
        <v>2.1382725689462201</v>
      </c>
      <c r="N16">
        <v>1.88103616152778</v>
      </c>
      <c r="O16">
        <v>2.0390204363647499</v>
      </c>
      <c r="P16">
        <v>1.8099776303442501</v>
      </c>
      <c r="Q16">
        <v>2.0832661971466799</v>
      </c>
      <c r="R16">
        <v>2.5017718506714202</v>
      </c>
      <c r="S16">
        <v>2.4807023970816799</v>
      </c>
      <c r="T16">
        <v>2.1059740873007602</v>
      </c>
      <c r="U16">
        <v>1.8458690233736701</v>
      </c>
      <c r="V16">
        <v>2.10705421114573</v>
      </c>
      <c r="W16">
        <v>1.9447126341943</v>
      </c>
      <c r="X16">
        <v>2.0514497602188402</v>
      </c>
      <c r="Y16">
        <v>2.5842229400705499</v>
      </c>
      <c r="Z16">
        <v>2.1084475109518102</v>
      </c>
      <c r="AA16">
        <v>1.96544323104202</v>
      </c>
      <c r="AB16">
        <v>2.5387322217622899</v>
      </c>
      <c r="AC16">
        <v>2.3734789519511099</v>
      </c>
      <c r="AD16">
        <v>2.8755559790267098</v>
      </c>
      <c r="AE16">
        <v>2.0446234046269098</v>
      </c>
      <c r="AF16">
        <v>1.88432893602939</v>
      </c>
      <c r="AG16">
        <v>2.1196863838530802</v>
      </c>
      <c r="AH16">
        <v>1.95670839344145</v>
      </c>
      <c r="AI16">
        <v>2.0909935866878202</v>
      </c>
      <c r="AJ16">
        <v>1.95585094321696</v>
      </c>
      <c r="AK16">
        <v>1.96544323104202</v>
      </c>
      <c r="AL16">
        <v>2.3062289591054701</v>
      </c>
      <c r="AM16">
        <v>2.2964279655954498</v>
      </c>
      <c r="AN16">
        <v>2.3073153020933201</v>
      </c>
      <c r="AO16">
        <v>2.3087206648920602</v>
      </c>
      <c r="AP16">
        <v>2.10705421114573</v>
      </c>
      <c r="AQ16">
        <v>2.05300448145847</v>
      </c>
      <c r="AR16">
        <v>1.96859918458049</v>
      </c>
      <c r="AS16">
        <v>2.1907210850232599</v>
      </c>
      <c r="AT16">
        <v>2.6772895946784101</v>
      </c>
      <c r="AU16">
        <v>2.6749346153324098</v>
      </c>
      <c r="AV16">
        <v>2.7140587681905601</v>
      </c>
      <c r="AW16">
        <v>2.9087965335324899</v>
      </c>
      <c r="AX16">
        <v>2.3859666900641501</v>
      </c>
      <c r="AY16">
        <v>2.9425570580814102</v>
      </c>
      <c r="AZ16">
        <v>2.6119253745170599</v>
      </c>
      <c r="BA16">
        <v>2.6082400206658698</v>
      </c>
      <c r="BB16">
        <v>2.56766310268375</v>
      </c>
      <c r="BC16">
        <v>2.68154763035623</v>
      </c>
      <c r="BD16">
        <v>2.8675254497993201</v>
      </c>
      <c r="BE16">
        <v>2.5020434692030298</v>
      </c>
      <c r="BF16">
        <v>2.6910234470540702</v>
      </c>
      <c r="BG16">
        <v>2.6270371436597499</v>
      </c>
      <c r="BH16">
        <v>2.5801241097944998</v>
      </c>
      <c r="BI16">
        <v>2.6609187789485498</v>
      </c>
      <c r="BJ16">
        <v>2.5997384831780401</v>
      </c>
      <c r="BK16">
        <v>2.7990172024753202</v>
      </c>
      <c r="BL16">
        <v>2.5913063822900901</v>
      </c>
      <c r="BM16">
        <v>2.8358409227858901</v>
      </c>
      <c r="BN16">
        <v>2.7607563891259099</v>
      </c>
      <c r="BO16">
        <v>2.44627453104204</v>
      </c>
      <c r="BP16">
        <v>2.3724993683906899</v>
      </c>
      <c r="BQ16">
        <v>2.5952476299919902</v>
      </c>
      <c r="BR16">
        <v>2.73396905627488</v>
      </c>
      <c r="BS16">
        <v>2.4676896221899698</v>
      </c>
      <c r="BT16">
        <v>2.7383437543751401</v>
      </c>
      <c r="BU16">
        <v>2.5863180608765099</v>
      </c>
      <c r="BV16">
        <v>2.8358409227858901</v>
      </c>
      <c r="BW16">
        <v>2.75712560925473</v>
      </c>
      <c r="BX16">
        <v>2.8659318563151799</v>
      </c>
      <c r="BY16">
        <v>2.5254672950550798</v>
      </c>
      <c r="BZ16">
        <v>2.58601879578783</v>
      </c>
      <c r="CA16">
        <v>2.5760875132868799</v>
      </c>
      <c r="CB16">
        <v>2.4788353638860601</v>
      </c>
      <c r="CC16">
        <v>2.56339076791618</v>
      </c>
      <c r="CD16">
        <v>2.6153239526902898</v>
      </c>
      <c r="CE16">
        <v>2.67680811991809</v>
      </c>
      <c r="CF16">
        <v>3.0059274687936899</v>
      </c>
      <c r="CG16">
        <v>2.9695850497920899</v>
      </c>
      <c r="CH16">
        <v>3.02513380825066</v>
      </c>
      <c r="CI16">
        <v>3.3891607330588198</v>
      </c>
      <c r="CJ16">
        <v>2.7444752107052199</v>
      </c>
      <c r="CK16">
        <v>3.1234107954076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</row>
    <row r="17" spans="1:97">
      <c r="A17" t="s">
        <v>4</v>
      </c>
      <c r="B17" t="s">
        <v>1</v>
      </c>
      <c r="C17">
        <v>3.75184541117798</v>
      </c>
      <c r="D17">
        <v>4.4675115518540398</v>
      </c>
      <c r="E17">
        <v>7.5978935324545596</v>
      </c>
      <c r="F17">
        <v>7.4569101369197597</v>
      </c>
      <c r="G17">
        <v>5.4558541187705298</v>
      </c>
      <c r="H17">
        <v>5.8734817007379903</v>
      </c>
      <c r="I17">
        <v>7.2197338092688099</v>
      </c>
      <c r="J17">
        <v>5.7629798277164799</v>
      </c>
      <c r="K17">
        <v>3.9525538161072</v>
      </c>
      <c r="L17">
        <v>5.9359669153626999</v>
      </c>
      <c r="M17">
        <v>3.5864447941034201</v>
      </c>
      <c r="N17">
        <v>7.3097235756101</v>
      </c>
      <c r="O17">
        <v>5.3522482608050002</v>
      </c>
      <c r="P17">
        <v>6.2532381633050003</v>
      </c>
      <c r="Q17">
        <v>7.9326332752818702</v>
      </c>
      <c r="R17">
        <v>6.5679753240488301</v>
      </c>
      <c r="S17">
        <v>6.74977581110634</v>
      </c>
      <c r="T17">
        <v>7.0917166494061803</v>
      </c>
      <c r="U17">
        <v>3.9218263591965901</v>
      </c>
      <c r="V17">
        <v>5.1804433200773099</v>
      </c>
      <c r="W17">
        <v>6.5124507402044101</v>
      </c>
      <c r="X17">
        <v>5.0669646165864304</v>
      </c>
      <c r="Y17">
        <v>6.7698106043643698</v>
      </c>
      <c r="Z17">
        <v>5.9984327159132897</v>
      </c>
      <c r="AA17">
        <v>4.2367522313938002</v>
      </c>
      <c r="AB17">
        <v>7.2391542383408503</v>
      </c>
      <c r="AC17">
        <v>6.7881786664679904</v>
      </c>
      <c r="AD17">
        <v>5.6947089725361302</v>
      </c>
      <c r="AE17">
        <v>4.5941206280940001</v>
      </c>
      <c r="AF17">
        <v>6.2708970117716101</v>
      </c>
      <c r="AG17">
        <v>5.7436680041438404</v>
      </c>
      <c r="AH17">
        <v>6.5854859985118201</v>
      </c>
      <c r="AI17">
        <v>7.4024782422420197</v>
      </c>
      <c r="AJ17">
        <v>7.3941356587624902</v>
      </c>
      <c r="AK17">
        <v>6.31836636197714</v>
      </c>
      <c r="AL17">
        <v>4.52531613982321</v>
      </c>
      <c r="AM17">
        <v>7.5878561696376696</v>
      </c>
      <c r="AN17">
        <v>8.5508475769732204</v>
      </c>
      <c r="AO17">
        <v>6.3497193032066201</v>
      </c>
      <c r="AP17">
        <v>5.1263420426752297</v>
      </c>
      <c r="AQ17">
        <v>5.7796863265555798</v>
      </c>
      <c r="AR17">
        <v>7.9380250058539197</v>
      </c>
      <c r="AS17">
        <v>8.0108773433672003</v>
      </c>
      <c r="AT17">
        <v>7.5743402846033296</v>
      </c>
      <c r="AU17">
        <v>8.1020033580084991</v>
      </c>
      <c r="AV17">
        <v>6.6651040326328497</v>
      </c>
      <c r="AW17">
        <v>8.5354780962824304</v>
      </c>
      <c r="AX17">
        <v>8.5782382559899695</v>
      </c>
      <c r="AY17">
        <v>3.5417119684162301</v>
      </c>
      <c r="AZ17">
        <v>4.50943476550583</v>
      </c>
      <c r="BA17">
        <v>7.0056831689862804</v>
      </c>
      <c r="BB17">
        <v>6.4666977443214204</v>
      </c>
      <c r="BC17">
        <v>8.22740013350327</v>
      </c>
      <c r="BD17">
        <v>6.7717880929847301</v>
      </c>
      <c r="BE17">
        <v>6.7013502298531602</v>
      </c>
      <c r="BF17">
        <v>6.2275889221113099</v>
      </c>
      <c r="BG17">
        <v>6.7689517210234902</v>
      </c>
      <c r="BH17">
        <v>6.21625198364345</v>
      </c>
      <c r="BI17">
        <v>6.5190161136565203</v>
      </c>
      <c r="BJ17">
        <v>3.0376311465344799</v>
      </c>
      <c r="BK17">
        <v>7.5481515251119404</v>
      </c>
      <c r="BL17">
        <v>3.8456418059704398</v>
      </c>
      <c r="BM17">
        <v>6.9603570146772196</v>
      </c>
      <c r="BN17">
        <v>6.8132199299413596</v>
      </c>
      <c r="BO17">
        <v>6.0412259241890602</v>
      </c>
      <c r="BP17">
        <v>6.93888798116238</v>
      </c>
      <c r="BQ17">
        <v>4.8719865966319302</v>
      </c>
      <c r="BR17">
        <v>5.7484565145276001</v>
      </c>
      <c r="BS17">
        <v>3.05102606133444</v>
      </c>
      <c r="BT17">
        <v>3.4572829940231902</v>
      </c>
      <c r="BU17">
        <v>3.2745667364468201</v>
      </c>
      <c r="BV17">
        <v>4.91391793421126</v>
      </c>
      <c r="BW17">
        <v>7.0461542126480499</v>
      </c>
      <c r="BX17">
        <v>5.8343616340132103</v>
      </c>
      <c r="BY17">
        <v>6.23764779772939</v>
      </c>
      <c r="BZ17">
        <v>3.41662691085028</v>
      </c>
      <c r="CA17">
        <v>7.1105248285886704</v>
      </c>
      <c r="CB17">
        <v>7.19075919448367</v>
      </c>
      <c r="CC17">
        <v>4.4305293978006199</v>
      </c>
      <c r="CD17">
        <v>3.6851786103866599</v>
      </c>
      <c r="CE17">
        <v>5.9995786257678301</v>
      </c>
      <c r="CF17">
        <v>9.5879591832391799</v>
      </c>
      <c r="CG17">
        <v>9.3323484112122994</v>
      </c>
      <c r="CH17">
        <v>7.6625980026580596</v>
      </c>
      <c r="CI17">
        <v>9.8866063917775193</v>
      </c>
      <c r="CJ17">
        <v>5.1083113125396302</v>
      </c>
      <c r="CK17">
        <v>4.8836591755942704</v>
      </c>
      <c r="CL17">
        <v>11.0752055542861</v>
      </c>
      <c r="CM17">
        <v>10.650404785794599</v>
      </c>
      <c r="CN17">
        <v>10.551784026940499</v>
      </c>
      <c r="CO17">
        <v>8.9033491832102207</v>
      </c>
      <c r="CP17">
        <v>9.9520091421191701</v>
      </c>
      <c r="CQ17">
        <v>10.3135665127843</v>
      </c>
      <c r="CR17">
        <v>8.4778519096825402</v>
      </c>
      <c r="CS17">
        <v>9.3217408631256493</v>
      </c>
    </row>
    <row r="18" spans="1:97">
      <c r="A18" t="s">
        <v>3</v>
      </c>
      <c r="B18" t="s">
        <v>1</v>
      </c>
      <c r="C18">
        <v>3.8279702575688099</v>
      </c>
      <c r="D18">
        <v>3.2910461769652</v>
      </c>
      <c r="E18">
        <v>5.1292127492423898</v>
      </c>
      <c r="F18">
        <v>5.4702704758743304</v>
      </c>
      <c r="G18">
        <v>5.16472407485172</v>
      </c>
      <c r="H18">
        <v>5.5681260554835799</v>
      </c>
      <c r="I18">
        <v>4.6530564380049997</v>
      </c>
      <c r="J18">
        <v>4.3496370954448196</v>
      </c>
      <c r="K18">
        <v>3.6896540998042502</v>
      </c>
      <c r="L18">
        <v>4.3496370954448196</v>
      </c>
      <c r="M18">
        <v>3.5664908067380701</v>
      </c>
      <c r="N18">
        <v>4.6533810461675396</v>
      </c>
      <c r="O18">
        <v>3.4482180164176799</v>
      </c>
      <c r="P18">
        <v>5.1000889219834997</v>
      </c>
      <c r="Q18">
        <v>5.1671947619573002</v>
      </c>
      <c r="R18">
        <v>4.0037581865977998</v>
      </c>
      <c r="S18">
        <v>4.7041145220730201</v>
      </c>
      <c r="T18">
        <v>4.6008883332175001</v>
      </c>
      <c r="U18">
        <v>3.5371849510623501</v>
      </c>
      <c r="V18">
        <v>3.2571556425167101</v>
      </c>
      <c r="W18">
        <v>3.4813981553077502</v>
      </c>
      <c r="X18">
        <v>3.8154442768975998</v>
      </c>
      <c r="Y18">
        <v>4.5257563325675898</v>
      </c>
      <c r="Z18">
        <v>4.4073910931312898</v>
      </c>
      <c r="AA18">
        <v>3.2947437144421898</v>
      </c>
      <c r="AB18">
        <v>4.2891875677300701</v>
      </c>
      <c r="AC18">
        <v>4.2403450077706299</v>
      </c>
      <c r="AD18">
        <v>3.7662367937386398</v>
      </c>
      <c r="AE18">
        <v>3.4637311272938098</v>
      </c>
      <c r="AF18">
        <v>4.7497440318317699</v>
      </c>
      <c r="AG18">
        <v>4.1386407211338998</v>
      </c>
      <c r="AH18">
        <v>4.6216468320597999</v>
      </c>
      <c r="AI18">
        <v>4.3233704796414099</v>
      </c>
      <c r="AJ18">
        <v>4.6427299143099203</v>
      </c>
      <c r="AK18">
        <v>4.4821331052264703</v>
      </c>
      <c r="AL18">
        <v>2.8855217615889699</v>
      </c>
      <c r="AM18">
        <v>4.8466860658077699</v>
      </c>
      <c r="AN18">
        <v>5.5703348638282799</v>
      </c>
      <c r="AO18">
        <v>3.68620912885561</v>
      </c>
      <c r="AP18">
        <v>3.9520272712314699</v>
      </c>
      <c r="AQ18">
        <v>4.5955217615266903</v>
      </c>
      <c r="AR18">
        <v>5.7129110376497803</v>
      </c>
      <c r="AS18">
        <v>5.4514488562983496</v>
      </c>
      <c r="AT18">
        <v>7.6039276731536303</v>
      </c>
      <c r="AU18">
        <v>7.5073435554475099</v>
      </c>
      <c r="AV18">
        <v>7.4917489048758998</v>
      </c>
      <c r="AW18">
        <v>8.2357169449718501</v>
      </c>
      <c r="AX18">
        <v>8.2369464540384705</v>
      </c>
      <c r="AY18">
        <v>3.7785452157627901</v>
      </c>
      <c r="AZ18">
        <v>5.1652138897210804</v>
      </c>
      <c r="BA18">
        <v>7.2445901509552</v>
      </c>
      <c r="BB18">
        <v>5.8405500210236596</v>
      </c>
      <c r="BC18">
        <v>8.2571198431742001</v>
      </c>
      <c r="BD18">
        <v>8.1633734952921095</v>
      </c>
      <c r="BE18">
        <v>7.0923124268996496</v>
      </c>
      <c r="BF18">
        <v>6.5884711463182102</v>
      </c>
      <c r="BG18">
        <v>6.86711878712073</v>
      </c>
      <c r="BH18">
        <v>6.1335803842707204</v>
      </c>
      <c r="BI18">
        <v>7.8257922203115902</v>
      </c>
      <c r="BJ18">
        <v>4.0790865547097397</v>
      </c>
      <c r="BK18">
        <v>7.4959288189639599</v>
      </c>
      <c r="BL18">
        <v>4.1652826935051204</v>
      </c>
      <c r="BM18">
        <v>8.4121008871062006</v>
      </c>
      <c r="BN18">
        <v>7.4032351945973698</v>
      </c>
      <c r="BO18">
        <v>7.3476678973633902</v>
      </c>
      <c r="BP18">
        <v>6.9294457912086296</v>
      </c>
      <c r="BQ18">
        <v>5.9040395954230398</v>
      </c>
      <c r="BR18">
        <v>7.2712101400130402</v>
      </c>
      <c r="BS18">
        <v>4.2688248060671699</v>
      </c>
      <c r="BT18">
        <v>4.0057048113494202</v>
      </c>
      <c r="BU18">
        <v>3.7632865734803298</v>
      </c>
      <c r="BV18">
        <v>4.8720766061675898</v>
      </c>
      <c r="BW18">
        <v>7.5094487144574904</v>
      </c>
      <c r="BX18">
        <v>7.0568050210393798</v>
      </c>
      <c r="BY18">
        <v>7.2103863687735403</v>
      </c>
      <c r="BZ18">
        <v>3.7575834576412599</v>
      </c>
      <c r="CA18">
        <v>7.4081767082548096</v>
      </c>
      <c r="CB18">
        <v>7.6038592897509298</v>
      </c>
      <c r="CC18">
        <v>4.3701558925797697</v>
      </c>
      <c r="CD18">
        <v>4.4140823270874199</v>
      </c>
      <c r="CE18">
        <v>5.93273753777423</v>
      </c>
      <c r="CF18">
        <v>7.0239699893914302</v>
      </c>
      <c r="CG18">
        <v>6.6808433721653104</v>
      </c>
      <c r="CH18">
        <v>6.2066635517438202</v>
      </c>
      <c r="CI18">
        <v>7.1518655647899196</v>
      </c>
      <c r="CJ18">
        <v>5.0390314007133998</v>
      </c>
      <c r="CK18">
        <v>4.9681398057284696</v>
      </c>
      <c r="CL18">
        <v>11.0752055542861</v>
      </c>
      <c r="CM18">
        <v>10.650404785794599</v>
      </c>
      <c r="CN18">
        <v>10.551784026940499</v>
      </c>
      <c r="CO18">
        <v>8.9033491832102207</v>
      </c>
      <c r="CP18">
        <v>9.9520091421191701</v>
      </c>
      <c r="CQ18">
        <v>10.3135665127843</v>
      </c>
      <c r="CR18">
        <v>8.4778519096825402</v>
      </c>
      <c r="CS18">
        <v>9.3217408631256493</v>
      </c>
    </row>
    <row r="19" spans="1:97">
      <c r="A19" t="s">
        <v>2</v>
      </c>
      <c r="B19" t="s">
        <v>1</v>
      </c>
      <c r="C19">
        <v>4.1701993251190999</v>
      </c>
      <c r="D19">
        <v>4.3422463608056301</v>
      </c>
      <c r="E19">
        <v>7.2358450864318398</v>
      </c>
      <c r="F19">
        <v>7.4339096554448902</v>
      </c>
      <c r="G19">
        <v>3.1630882947043499</v>
      </c>
      <c r="H19">
        <v>4.0844847275522902</v>
      </c>
      <c r="I19">
        <v>6.5759213121633202</v>
      </c>
      <c r="J19">
        <v>6.7802642848823798</v>
      </c>
      <c r="K19">
        <v>3.6228269845266698</v>
      </c>
      <c r="L19">
        <v>6.1418465825331001</v>
      </c>
      <c r="M19">
        <v>2.6831849907676499</v>
      </c>
      <c r="N19">
        <v>8.5323101658228104</v>
      </c>
      <c r="O19">
        <v>4.3080698141495199</v>
      </c>
      <c r="P19">
        <v>7.0090303945435997</v>
      </c>
      <c r="Q19">
        <v>7.1109613772441298</v>
      </c>
      <c r="R19">
        <v>7.0578668148496302</v>
      </c>
      <c r="S19">
        <v>6.79451993568654</v>
      </c>
      <c r="T19">
        <v>6.6680391767843501</v>
      </c>
      <c r="U19">
        <v>4.3153544527466998</v>
      </c>
      <c r="V19">
        <v>3.9729719009660198</v>
      </c>
      <c r="W19">
        <v>7.25529960652689</v>
      </c>
      <c r="X19">
        <v>4.8126653323154596</v>
      </c>
      <c r="Y19">
        <v>6.8176231482279599</v>
      </c>
      <c r="Z19">
        <v>5.3426832366144703</v>
      </c>
      <c r="AA19">
        <v>3.7092737809151801</v>
      </c>
      <c r="AB19">
        <v>7.5401558354654803</v>
      </c>
      <c r="AC19">
        <v>7.4854351517740101</v>
      </c>
      <c r="AD19">
        <v>4.3365154377005499</v>
      </c>
      <c r="AE19">
        <v>4.2014679207870502</v>
      </c>
      <c r="AF19">
        <v>6.2429708170302103</v>
      </c>
      <c r="AG19">
        <v>5.2478904844895498</v>
      </c>
      <c r="AH19">
        <v>7.6381562496285396</v>
      </c>
      <c r="AI19">
        <v>8.4766061528102199</v>
      </c>
      <c r="AJ19">
        <v>6.9611394116615504</v>
      </c>
      <c r="AK19">
        <v>5.51640517407189</v>
      </c>
      <c r="AL19">
        <v>4.6407006642508399</v>
      </c>
      <c r="AM19">
        <v>7.3546404725900496</v>
      </c>
      <c r="AN19">
        <v>8.2994037590122396</v>
      </c>
      <c r="AO19">
        <v>5.3777736429544998</v>
      </c>
      <c r="AP19">
        <v>3.0885657207330599</v>
      </c>
      <c r="AQ19">
        <v>6.2037795203963002</v>
      </c>
      <c r="AR19">
        <v>7.6408185277702803</v>
      </c>
      <c r="AS19">
        <v>7.5061932308228902</v>
      </c>
      <c r="AT19">
        <v>8.5614031393603298</v>
      </c>
      <c r="AU19">
        <v>9.0294703542096908</v>
      </c>
      <c r="AV19">
        <v>7.4643925782105098</v>
      </c>
      <c r="AW19">
        <v>9.6350042353045904</v>
      </c>
      <c r="AX19">
        <v>9.4534383397276205</v>
      </c>
      <c r="AY19">
        <v>3.8834910233528501</v>
      </c>
      <c r="AZ19">
        <v>5.5245508101809699</v>
      </c>
      <c r="BA19">
        <v>8.2635252456205297</v>
      </c>
      <c r="BB19">
        <v>6.2657115083649098</v>
      </c>
      <c r="BC19">
        <v>9.4616145391694797</v>
      </c>
      <c r="BD19">
        <v>8.0611896041522506</v>
      </c>
      <c r="BE19">
        <v>7.9831743736799501</v>
      </c>
      <c r="BF19">
        <v>7.6501060114681501</v>
      </c>
      <c r="BG19">
        <v>7.5836200261342102</v>
      </c>
      <c r="BH19">
        <v>7.27779568029261</v>
      </c>
      <c r="BI19">
        <v>7.2158068223122003</v>
      </c>
      <c r="BJ19">
        <v>3.2905557896930602</v>
      </c>
      <c r="BK19">
        <v>8.8652874334985707</v>
      </c>
      <c r="BL19">
        <v>2.5030898941490598</v>
      </c>
      <c r="BM19">
        <v>8.1409635984617292</v>
      </c>
      <c r="BN19">
        <v>8.1220400343750594</v>
      </c>
      <c r="BO19">
        <v>6.8074411895637699</v>
      </c>
      <c r="BP19">
        <v>8.0086638934732495</v>
      </c>
      <c r="BQ19">
        <v>6.0589427417387602</v>
      </c>
      <c r="BR19">
        <v>6.3398548925029496</v>
      </c>
      <c r="BS19">
        <v>3.0482717308460798</v>
      </c>
      <c r="BT19">
        <v>2.81460975356155</v>
      </c>
      <c r="BU19">
        <v>2.9719966017758699</v>
      </c>
      <c r="BV19">
        <v>5.3846673157528704</v>
      </c>
      <c r="BW19">
        <v>8.7161854151266702</v>
      </c>
      <c r="BX19">
        <v>5.6259634574608004</v>
      </c>
      <c r="BY19">
        <v>6.9716018362151999</v>
      </c>
      <c r="BZ19">
        <v>2.9708455990167</v>
      </c>
      <c r="CA19">
        <v>8.6184749949990493</v>
      </c>
      <c r="CB19">
        <v>8.0494059601076895</v>
      </c>
      <c r="CC19">
        <v>3.81934241442679</v>
      </c>
      <c r="CD19">
        <v>4.0204446985347797</v>
      </c>
      <c r="CE19">
        <v>7.0624648401689099</v>
      </c>
      <c r="CF19">
        <v>9.2339106991849693</v>
      </c>
      <c r="CG19">
        <v>9.3125821145080501</v>
      </c>
      <c r="CH19">
        <v>7.40429738389013</v>
      </c>
      <c r="CI19">
        <v>9.2883551040915595</v>
      </c>
      <c r="CJ19">
        <v>6.1528944857993997</v>
      </c>
      <c r="CK19">
        <v>5.7268756160330501</v>
      </c>
      <c r="CL19">
        <v>11.0752055542861</v>
      </c>
      <c r="CM19">
        <v>10.650404785794599</v>
      </c>
      <c r="CN19">
        <v>10.551784026940499</v>
      </c>
      <c r="CO19">
        <v>8.9033491832102207</v>
      </c>
      <c r="CP19">
        <v>9.9520091421191701</v>
      </c>
      <c r="CQ19">
        <v>10.3135665127843</v>
      </c>
      <c r="CR19">
        <v>8.4778519096825402</v>
      </c>
      <c r="CS19">
        <v>9.3217408631256493</v>
      </c>
    </row>
    <row r="20" spans="1:97">
      <c r="A20" s="1"/>
      <c r="B20" s="1" t="s">
        <v>104</v>
      </c>
      <c r="C20" s="1">
        <f>MEDIAN(C17:C19)</f>
        <v>3.8279702575688099</v>
      </c>
      <c r="D20" s="1">
        <f t="shared" ref="D20:BM20" si="12">MEDIAN(D17:D19)</f>
        <v>4.3422463608056301</v>
      </c>
      <c r="E20" s="1">
        <f t="shared" si="12"/>
        <v>7.2358450864318398</v>
      </c>
      <c r="F20" s="1">
        <f t="shared" si="12"/>
        <v>7.4339096554448902</v>
      </c>
      <c r="G20" s="1">
        <f t="shared" si="12"/>
        <v>5.16472407485172</v>
      </c>
      <c r="H20" s="1">
        <f t="shared" si="12"/>
        <v>5.5681260554835799</v>
      </c>
      <c r="I20" s="1">
        <f t="shared" si="12"/>
        <v>6.5759213121633202</v>
      </c>
      <c r="J20" s="1">
        <f t="shared" si="12"/>
        <v>5.7629798277164799</v>
      </c>
      <c r="K20" s="1">
        <f t="shared" si="12"/>
        <v>3.6896540998042502</v>
      </c>
      <c r="L20" s="1">
        <f t="shared" si="12"/>
        <v>5.9359669153626999</v>
      </c>
      <c r="M20" s="1">
        <f t="shared" si="12"/>
        <v>3.5664908067380701</v>
      </c>
      <c r="N20" s="1">
        <f t="shared" si="12"/>
        <v>7.3097235756101</v>
      </c>
      <c r="O20" s="1">
        <f t="shared" si="12"/>
        <v>4.3080698141495199</v>
      </c>
      <c r="P20" s="1">
        <f t="shared" si="12"/>
        <v>6.2532381633050003</v>
      </c>
      <c r="Q20" s="1">
        <f t="shared" si="12"/>
        <v>7.1109613772441298</v>
      </c>
      <c r="R20" s="1">
        <f t="shared" si="12"/>
        <v>6.5679753240488301</v>
      </c>
      <c r="S20" s="1">
        <f t="shared" si="12"/>
        <v>6.74977581110634</v>
      </c>
      <c r="T20" s="1">
        <f t="shared" si="12"/>
        <v>6.6680391767843501</v>
      </c>
      <c r="U20" s="1">
        <f t="shared" si="12"/>
        <v>3.9218263591965901</v>
      </c>
      <c r="V20" s="1">
        <f t="shared" si="12"/>
        <v>3.9729719009660198</v>
      </c>
      <c r="W20" s="1">
        <f t="shared" si="12"/>
        <v>6.5124507402044101</v>
      </c>
      <c r="X20" s="1">
        <f t="shared" si="12"/>
        <v>4.8126653323154596</v>
      </c>
      <c r="Y20" s="1">
        <f t="shared" si="12"/>
        <v>6.7698106043643698</v>
      </c>
      <c r="Z20" s="1">
        <f t="shared" si="12"/>
        <v>5.3426832366144703</v>
      </c>
      <c r="AA20" s="1">
        <f t="shared" si="12"/>
        <v>3.7092737809151801</v>
      </c>
      <c r="AB20" s="1">
        <f t="shared" si="12"/>
        <v>7.2391542383408503</v>
      </c>
      <c r="AC20" s="1">
        <f t="shared" si="12"/>
        <v>6.7881786664679904</v>
      </c>
      <c r="AD20" s="1">
        <f t="shared" si="12"/>
        <v>4.3365154377005499</v>
      </c>
      <c r="AE20" s="1">
        <f t="shared" si="12"/>
        <v>4.2014679207870502</v>
      </c>
      <c r="AF20" s="1">
        <f t="shared" si="12"/>
        <v>6.2429708170302103</v>
      </c>
      <c r="AG20" s="1">
        <f t="shared" si="12"/>
        <v>5.2478904844895498</v>
      </c>
      <c r="AH20" s="1">
        <f t="shared" si="12"/>
        <v>6.5854859985118201</v>
      </c>
      <c r="AI20" s="1">
        <f t="shared" si="12"/>
        <v>7.4024782422420197</v>
      </c>
      <c r="AJ20" s="1">
        <f t="shared" si="12"/>
        <v>6.9611394116615504</v>
      </c>
      <c r="AK20" s="1">
        <f t="shared" si="12"/>
        <v>5.51640517407189</v>
      </c>
      <c r="AL20" s="1">
        <f t="shared" si="12"/>
        <v>4.52531613982321</v>
      </c>
      <c r="AM20" s="1">
        <f t="shared" si="12"/>
        <v>7.3546404725900496</v>
      </c>
      <c r="AN20" s="1">
        <f t="shared" si="12"/>
        <v>8.2994037590122396</v>
      </c>
      <c r="AO20" s="1">
        <f t="shared" si="12"/>
        <v>5.3777736429544998</v>
      </c>
      <c r="AP20" s="1">
        <f t="shared" si="12"/>
        <v>3.9520272712314699</v>
      </c>
      <c r="AQ20" s="1">
        <f t="shared" si="12"/>
        <v>5.7796863265555798</v>
      </c>
      <c r="AR20" s="1">
        <f t="shared" si="12"/>
        <v>7.6408185277702803</v>
      </c>
      <c r="AS20" s="1">
        <f t="shared" si="12"/>
        <v>7.5061932308228902</v>
      </c>
      <c r="AT20" s="1">
        <f t="shared" si="12"/>
        <v>7.6039276731536303</v>
      </c>
      <c r="AU20" s="1">
        <f t="shared" si="12"/>
        <v>8.1020033580084991</v>
      </c>
      <c r="AV20" s="1">
        <f t="shared" si="12"/>
        <v>7.4643925782105098</v>
      </c>
      <c r="AW20" s="1">
        <f t="shared" si="12"/>
        <v>8.5354780962824304</v>
      </c>
      <c r="AX20" s="1">
        <f t="shared" si="12"/>
        <v>8.5782382559899695</v>
      </c>
      <c r="AY20" s="1">
        <f t="shared" si="12"/>
        <v>3.7785452157627901</v>
      </c>
      <c r="AZ20" s="1">
        <f t="shared" si="12"/>
        <v>5.1652138897210804</v>
      </c>
      <c r="BA20" s="1">
        <f t="shared" si="12"/>
        <v>7.2445901509552</v>
      </c>
      <c r="BB20" s="1">
        <f t="shared" si="12"/>
        <v>6.2657115083649098</v>
      </c>
      <c r="BC20" s="1">
        <f t="shared" si="12"/>
        <v>8.2571198431742001</v>
      </c>
      <c r="BD20" s="1">
        <f t="shared" si="12"/>
        <v>8.0611896041522506</v>
      </c>
      <c r="BE20" s="1">
        <f t="shared" si="12"/>
        <v>7.0923124268996496</v>
      </c>
      <c r="BF20" s="1">
        <f t="shared" si="12"/>
        <v>6.5884711463182102</v>
      </c>
      <c r="BG20" s="1">
        <f t="shared" si="12"/>
        <v>6.86711878712073</v>
      </c>
      <c r="BH20" s="1">
        <f t="shared" si="12"/>
        <v>6.21625198364345</v>
      </c>
      <c r="BI20" s="1">
        <f t="shared" si="12"/>
        <v>7.2158068223122003</v>
      </c>
      <c r="BJ20" s="1">
        <f t="shared" si="12"/>
        <v>3.2905557896930602</v>
      </c>
      <c r="BK20" s="1">
        <f t="shared" si="12"/>
        <v>7.5481515251119404</v>
      </c>
      <c r="BL20" s="1">
        <f t="shared" si="12"/>
        <v>3.8456418059704398</v>
      </c>
      <c r="BM20" s="1">
        <f t="shared" si="12"/>
        <v>8.1409635984617292</v>
      </c>
      <c r="BN20" s="1">
        <f t="shared" ref="BN20:CK20" si="13">MEDIAN(BN17:BN19)</f>
        <v>7.4032351945973698</v>
      </c>
      <c r="BO20" s="1">
        <f t="shared" si="13"/>
        <v>6.8074411895637699</v>
      </c>
      <c r="BP20" s="1">
        <f t="shared" si="13"/>
        <v>6.93888798116238</v>
      </c>
      <c r="BQ20" s="1">
        <f t="shared" si="13"/>
        <v>5.9040395954230398</v>
      </c>
      <c r="BR20" s="1">
        <f t="shared" si="13"/>
        <v>6.3398548925029496</v>
      </c>
      <c r="BS20" s="1">
        <f t="shared" si="13"/>
        <v>3.05102606133444</v>
      </c>
      <c r="BT20" s="1">
        <f t="shared" si="13"/>
        <v>3.4572829940231902</v>
      </c>
      <c r="BU20" s="1">
        <f t="shared" si="13"/>
        <v>3.2745667364468201</v>
      </c>
      <c r="BV20" s="1">
        <f t="shared" si="13"/>
        <v>4.91391793421126</v>
      </c>
      <c r="BW20" s="1">
        <f t="shared" si="13"/>
        <v>7.5094487144574904</v>
      </c>
      <c r="BX20" s="1">
        <f t="shared" si="13"/>
        <v>5.8343616340132103</v>
      </c>
      <c r="BY20" s="1">
        <f t="shared" si="13"/>
        <v>6.9716018362151999</v>
      </c>
      <c r="BZ20" s="1">
        <f t="shared" si="13"/>
        <v>3.41662691085028</v>
      </c>
      <c r="CA20" s="1">
        <f t="shared" si="13"/>
        <v>7.4081767082548096</v>
      </c>
      <c r="CB20" s="1">
        <f t="shared" si="13"/>
        <v>7.6038592897509298</v>
      </c>
      <c r="CC20" s="1">
        <f t="shared" si="13"/>
        <v>4.3701558925797697</v>
      </c>
      <c r="CD20" s="1">
        <f t="shared" si="13"/>
        <v>4.0204446985347797</v>
      </c>
      <c r="CE20" s="1">
        <f t="shared" si="13"/>
        <v>5.9995786257678301</v>
      </c>
      <c r="CF20" s="1">
        <f t="shared" si="13"/>
        <v>9.2339106991849693</v>
      </c>
      <c r="CG20" s="1">
        <f t="shared" si="13"/>
        <v>9.3125821145080501</v>
      </c>
      <c r="CH20" s="1">
        <f t="shared" si="13"/>
        <v>7.40429738389013</v>
      </c>
      <c r="CI20" s="1">
        <f t="shared" si="13"/>
        <v>9.2883551040915595</v>
      </c>
      <c r="CJ20" s="1">
        <f t="shared" si="13"/>
        <v>5.1083113125396302</v>
      </c>
      <c r="CK20" s="1">
        <f t="shared" si="13"/>
        <v>4.9681398057284696</v>
      </c>
      <c r="CL20" s="1">
        <f t="shared" ref="CL20:CS20" si="14">MEDIAN(CL17:CL19)</f>
        <v>11.0752055542861</v>
      </c>
      <c r="CM20" s="1">
        <f t="shared" si="14"/>
        <v>10.650404785794599</v>
      </c>
      <c r="CN20" s="1">
        <f t="shared" si="14"/>
        <v>10.551784026940499</v>
      </c>
      <c r="CO20" s="1">
        <f t="shared" si="14"/>
        <v>8.9033491832102207</v>
      </c>
      <c r="CP20" s="1">
        <f t="shared" si="14"/>
        <v>9.9520091421191701</v>
      </c>
      <c r="CQ20" s="1">
        <f t="shared" si="14"/>
        <v>10.3135665127843</v>
      </c>
      <c r="CR20" s="1">
        <f t="shared" si="14"/>
        <v>8.4778519096825402</v>
      </c>
      <c r="CS20" s="1">
        <f t="shared" si="14"/>
        <v>9.3217408631256493</v>
      </c>
    </row>
    <row r="21" spans="1:97">
      <c r="A21" s="1"/>
      <c r="B21" s="2" t="s">
        <v>105</v>
      </c>
      <c r="C21" s="1">
        <f>ROUNDUP(C20,3)</f>
        <v>3.8279999999999998</v>
      </c>
      <c r="D21" s="1">
        <f t="shared" ref="D21:BM21" si="15">ROUNDUP(D20,3)</f>
        <v>4.343</v>
      </c>
      <c r="E21" s="1">
        <f t="shared" si="15"/>
        <v>7.2360000000000007</v>
      </c>
      <c r="F21" s="1">
        <f t="shared" si="15"/>
        <v>7.4340000000000002</v>
      </c>
      <c r="G21" s="1">
        <f t="shared" si="15"/>
        <v>5.165</v>
      </c>
      <c r="H21" s="1">
        <f t="shared" si="15"/>
        <v>5.569</v>
      </c>
      <c r="I21" s="1">
        <f t="shared" si="15"/>
        <v>6.5760000000000005</v>
      </c>
      <c r="J21" s="1">
        <f t="shared" si="15"/>
        <v>5.7629999999999999</v>
      </c>
      <c r="K21" s="1">
        <f t="shared" si="15"/>
        <v>3.69</v>
      </c>
      <c r="L21" s="1">
        <f t="shared" si="15"/>
        <v>5.9359999999999999</v>
      </c>
      <c r="M21" s="1">
        <f t="shared" si="15"/>
        <v>3.5669999999999997</v>
      </c>
      <c r="N21" s="1">
        <f t="shared" si="15"/>
        <v>7.3100000000000005</v>
      </c>
      <c r="O21" s="1">
        <f t="shared" si="15"/>
        <v>4.3090000000000002</v>
      </c>
      <c r="P21" s="1">
        <f t="shared" si="15"/>
        <v>6.2540000000000004</v>
      </c>
      <c r="Q21" s="1">
        <f t="shared" si="15"/>
        <v>7.1110000000000007</v>
      </c>
      <c r="R21" s="1">
        <f t="shared" si="15"/>
        <v>6.5680000000000005</v>
      </c>
      <c r="S21" s="1">
        <f t="shared" si="15"/>
        <v>6.75</v>
      </c>
      <c r="T21" s="1">
        <f t="shared" si="15"/>
        <v>6.6690000000000005</v>
      </c>
      <c r="U21" s="1">
        <f t="shared" si="15"/>
        <v>3.9219999999999997</v>
      </c>
      <c r="V21" s="1">
        <f t="shared" si="15"/>
        <v>3.9729999999999999</v>
      </c>
      <c r="W21" s="1">
        <f t="shared" si="15"/>
        <v>6.5129999999999999</v>
      </c>
      <c r="X21" s="1">
        <f t="shared" si="15"/>
        <v>4.8130000000000006</v>
      </c>
      <c r="Y21" s="1">
        <f t="shared" si="15"/>
        <v>6.7700000000000005</v>
      </c>
      <c r="Z21" s="1">
        <f t="shared" si="15"/>
        <v>5.343</v>
      </c>
      <c r="AA21" s="1">
        <f t="shared" si="15"/>
        <v>3.71</v>
      </c>
      <c r="AB21" s="1">
        <f t="shared" si="15"/>
        <v>7.24</v>
      </c>
      <c r="AC21" s="1">
        <f t="shared" si="15"/>
        <v>6.7890000000000006</v>
      </c>
      <c r="AD21" s="1">
        <f t="shared" si="15"/>
        <v>4.3370000000000006</v>
      </c>
      <c r="AE21" s="1">
        <f t="shared" si="15"/>
        <v>4.202</v>
      </c>
      <c r="AF21" s="1">
        <f t="shared" si="15"/>
        <v>6.2430000000000003</v>
      </c>
      <c r="AG21" s="1">
        <f t="shared" si="15"/>
        <v>5.2480000000000002</v>
      </c>
      <c r="AH21" s="1">
        <f t="shared" si="15"/>
        <v>6.5860000000000003</v>
      </c>
      <c r="AI21" s="1">
        <f t="shared" si="15"/>
        <v>7.4030000000000005</v>
      </c>
      <c r="AJ21" s="1">
        <f t="shared" si="15"/>
        <v>6.9620000000000006</v>
      </c>
      <c r="AK21" s="1">
        <f t="shared" si="15"/>
        <v>5.5170000000000003</v>
      </c>
      <c r="AL21" s="1">
        <f t="shared" si="15"/>
        <v>4.5260000000000007</v>
      </c>
      <c r="AM21" s="1">
        <f t="shared" si="15"/>
        <v>7.3550000000000004</v>
      </c>
      <c r="AN21" s="1">
        <f t="shared" si="15"/>
        <v>8.2999999999999989</v>
      </c>
      <c r="AO21" s="1">
        <f t="shared" si="15"/>
        <v>5.3780000000000001</v>
      </c>
      <c r="AP21" s="1">
        <f t="shared" si="15"/>
        <v>3.9529999999999998</v>
      </c>
      <c r="AQ21" s="1">
        <f t="shared" si="15"/>
        <v>5.78</v>
      </c>
      <c r="AR21" s="1">
        <f t="shared" si="15"/>
        <v>7.641</v>
      </c>
      <c r="AS21" s="1">
        <f t="shared" si="15"/>
        <v>7.5070000000000006</v>
      </c>
      <c r="AT21" s="1">
        <f t="shared" si="15"/>
        <v>7.6040000000000001</v>
      </c>
      <c r="AU21" s="1">
        <f t="shared" si="15"/>
        <v>8.1029999999999998</v>
      </c>
      <c r="AV21" s="1">
        <f t="shared" si="15"/>
        <v>7.4650000000000007</v>
      </c>
      <c r="AW21" s="1">
        <f t="shared" si="15"/>
        <v>8.5359999999999996</v>
      </c>
      <c r="AX21" s="1">
        <f t="shared" si="15"/>
        <v>8.5789999999999988</v>
      </c>
      <c r="AY21" s="1">
        <f t="shared" si="15"/>
        <v>3.7789999999999999</v>
      </c>
      <c r="AZ21" s="1">
        <f t="shared" si="15"/>
        <v>5.1660000000000004</v>
      </c>
      <c r="BA21" s="1">
        <f t="shared" si="15"/>
        <v>7.2450000000000001</v>
      </c>
      <c r="BB21" s="1">
        <f t="shared" si="15"/>
        <v>6.266</v>
      </c>
      <c r="BC21" s="1">
        <f t="shared" si="15"/>
        <v>8.2579999999999991</v>
      </c>
      <c r="BD21" s="1">
        <f t="shared" si="15"/>
        <v>8.0619999999999994</v>
      </c>
      <c r="BE21" s="1">
        <f t="shared" si="15"/>
        <v>7.093</v>
      </c>
      <c r="BF21" s="1">
        <f t="shared" si="15"/>
        <v>6.5890000000000004</v>
      </c>
      <c r="BG21" s="1">
        <f t="shared" si="15"/>
        <v>6.8680000000000003</v>
      </c>
      <c r="BH21" s="1">
        <f t="shared" si="15"/>
        <v>6.2170000000000005</v>
      </c>
      <c r="BI21" s="1">
        <f t="shared" si="15"/>
        <v>7.2160000000000002</v>
      </c>
      <c r="BJ21" s="1">
        <f t="shared" si="15"/>
        <v>3.2909999999999999</v>
      </c>
      <c r="BK21" s="1">
        <f t="shared" si="15"/>
        <v>7.5490000000000004</v>
      </c>
      <c r="BL21" s="1">
        <f t="shared" si="15"/>
        <v>3.8460000000000001</v>
      </c>
      <c r="BM21" s="1">
        <f t="shared" si="15"/>
        <v>8.141</v>
      </c>
      <c r="BN21" s="1">
        <f t="shared" ref="BN21:CK21" si="16">ROUNDUP(BN20,3)</f>
        <v>7.4039999999999999</v>
      </c>
      <c r="BO21" s="1">
        <f t="shared" si="16"/>
        <v>6.8080000000000007</v>
      </c>
      <c r="BP21" s="1">
        <f t="shared" si="16"/>
        <v>6.9390000000000001</v>
      </c>
      <c r="BQ21" s="1">
        <f t="shared" si="16"/>
        <v>5.9050000000000002</v>
      </c>
      <c r="BR21" s="1">
        <f t="shared" si="16"/>
        <v>6.3400000000000007</v>
      </c>
      <c r="BS21" s="1">
        <f t="shared" si="16"/>
        <v>3.052</v>
      </c>
      <c r="BT21" s="1">
        <f t="shared" si="16"/>
        <v>3.4579999999999997</v>
      </c>
      <c r="BU21" s="1">
        <f t="shared" si="16"/>
        <v>3.2749999999999999</v>
      </c>
      <c r="BV21" s="1">
        <f t="shared" si="16"/>
        <v>4.9140000000000006</v>
      </c>
      <c r="BW21" s="1">
        <f t="shared" si="16"/>
        <v>7.5100000000000007</v>
      </c>
      <c r="BX21" s="1">
        <f t="shared" si="16"/>
        <v>5.835</v>
      </c>
      <c r="BY21" s="1">
        <f t="shared" si="16"/>
        <v>6.9720000000000004</v>
      </c>
      <c r="BZ21" s="1">
        <f t="shared" si="16"/>
        <v>3.4169999999999998</v>
      </c>
      <c r="CA21" s="1">
        <f t="shared" si="16"/>
        <v>7.4090000000000007</v>
      </c>
      <c r="CB21" s="1">
        <f t="shared" si="16"/>
        <v>7.6040000000000001</v>
      </c>
      <c r="CC21" s="1">
        <f t="shared" si="16"/>
        <v>4.3710000000000004</v>
      </c>
      <c r="CD21" s="1">
        <f t="shared" si="16"/>
        <v>4.0209999999999999</v>
      </c>
      <c r="CE21" s="1">
        <f t="shared" si="16"/>
        <v>6</v>
      </c>
      <c r="CF21" s="1">
        <f t="shared" si="16"/>
        <v>9.234</v>
      </c>
      <c r="CG21" s="1">
        <f t="shared" si="16"/>
        <v>9.3129999999999988</v>
      </c>
      <c r="CH21" s="1">
        <f t="shared" si="16"/>
        <v>7.4050000000000002</v>
      </c>
      <c r="CI21" s="1">
        <f t="shared" si="16"/>
        <v>9.2889999999999997</v>
      </c>
      <c r="CJ21" s="1">
        <f t="shared" si="16"/>
        <v>5.109</v>
      </c>
      <c r="CK21" s="1">
        <f t="shared" si="16"/>
        <v>4.9690000000000003</v>
      </c>
      <c r="CL21" s="1">
        <f t="shared" ref="CL21:CS21" si="17">ROUNDUP(CL20,3)</f>
        <v>11.075999999999999</v>
      </c>
      <c r="CM21" s="1">
        <f t="shared" si="17"/>
        <v>10.651</v>
      </c>
      <c r="CN21" s="1">
        <f t="shared" si="17"/>
        <v>10.552</v>
      </c>
      <c r="CO21" s="1">
        <f t="shared" si="17"/>
        <v>8.9039999999999999</v>
      </c>
      <c r="CP21" s="1">
        <f t="shared" si="17"/>
        <v>9.9529999999999994</v>
      </c>
      <c r="CQ21" s="1">
        <f t="shared" si="17"/>
        <v>10.314</v>
      </c>
      <c r="CR21" s="1">
        <f t="shared" si="17"/>
        <v>8.4779999999999998</v>
      </c>
      <c r="CS21" s="1">
        <f t="shared" si="17"/>
        <v>9.3219999999999992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8475-68DF-2147-B4A9-6AC388F889E7}">
  <dimension ref="A1:K192"/>
  <sheetViews>
    <sheetView tabSelected="1" topLeftCell="B178" workbookViewId="0">
      <selection activeCell="B199" sqref="B199:C200"/>
    </sheetView>
  </sheetViews>
  <sheetFormatPr baseColWidth="10" defaultRowHeight="16"/>
  <cols>
    <col min="1" max="1" width="5.33203125" bestFit="1" customWidth="1"/>
    <col min="2" max="2" width="34.83203125" bestFit="1" customWidth="1"/>
    <col min="3" max="3" width="7.1640625" bestFit="1" customWidth="1"/>
    <col min="6" max="6" width="17.83203125" customWidth="1"/>
    <col min="9" max="9" width="5.33203125" bestFit="1" customWidth="1"/>
    <col min="10" max="10" width="34.83203125" bestFit="1" customWidth="1"/>
    <col min="11" max="11" width="7.1640625" bestFit="1" customWidth="1"/>
  </cols>
  <sheetData>
    <row r="1" spans="1:11">
      <c r="A1" t="s">
        <v>106</v>
      </c>
      <c r="B1" s="1" t="s">
        <v>50</v>
      </c>
      <c r="C1" s="1" t="s">
        <v>1</v>
      </c>
      <c r="I1" t="s">
        <v>106</v>
      </c>
      <c r="J1" s="1" t="s">
        <v>112</v>
      </c>
      <c r="K1" s="1" t="s">
        <v>113</v>
      </c>
    </row>
    <row r="2" spans="1:11">
      <c r="A2">
        <v>1</v>
      </c>
      <c r="B2" s="1" t="s">
        <v>64</v>
      </c>
      <c r="C2" s="1">
        <v>3.052</v>
      </c>
      <c r="E2">
        <v>24</v>
      </c>
      <c r="F2" s="3" t="s">
        <v>109</v>
      </c>
      <c r="G2" s="1">
        <v>4.9690000000000003</v>
      </c>
      <c r="H2" t="s">
        <v>108</v>
      </c>
      <c r="I2">
        <v>1</v>
      </c>
      <c r="J2" s="1" t="s">
        <v>64</v>
      </c>
      <c r="K2" s="1">
        <v>3.052</v>
      </c>
    </row>
    <row r="3" spans="1:11">
      <c r="A3">
        <v>2</v>
      </c>
      <c r="B3" s="1" t="s">
        <v>62</v>
      </c>
      <c r="C3" s="1">
        <v>3.2749999999999999</v>
      </c>
      <c r="E3">
        <v>25</v>
      </c>
      <c r="F3" s="3" t="s">
        <v>110</v>
      </c>
      <c r="G3" s="1">
        <v>5.109</v>
      </c>
      <c r="H3" t="s">
        <v>108</v>
      </c>
      <c r="I3">
        <v>2</v>
      </c>
      <c r="J3" s="1" t="s">
        <v>62</v>
      </c>
      <c r="K3" s="1">
        <v>3.2749999999999999</v>
      </c>
    </row>
    <row r="4" spans="1:11">
      <c r="A4">
        <v>3</v>
      </c>
      <c r="B4" s="1" t="s">
        <v>73</v>
      </c>
      <c r="C4" s="1">
        <v>3.2909999999999999</v>
      </c>
      <c r="E4">
        <v>68</v>
      </c>
      <c r="F4" s="3" t="s">
        <v>107</v>
      </c>
      <c r="G4" s="1">
        <v>7.4050000000000002</v>
      </c>
      <c r="H4" t="s">
        <v>108</v>
      </c>
      <c r="I4">
        <v>3</v>
      </c>
      <c r="J4" s="1" t="s">
        <v>73</v>
      </c>
      <c r="K4" s="1">
        <v>3.2909999999999999</v>
      </c>
    </row>
    <row r="5" spans="1:11">
      <c r="A5">
        <v>4</v>
      </c>
      <c r="B5" s="1" t="s">
        <v>57</v>
      </c>
      <c r="C5" s="1">
        <v>3.4169999999999998</v>
      </c>
      <c r="F5" t="str">
        <f>F2&amp;"_"&amp;F3&amp;"_"&amp;F4&amp;"_medain_Z138"</f>
        <v>GSM854803_GSM854802_GSM1044974_medain_Z138</v>
      </c>
      <c r="G5">
        <f>MEDIAN(G2:G4)</f>
        <v>5.109</v>
      </c>
      <c r="I5">
        <v>4</v>
      </c>
      <c r="J5" s="1" t="s">
        <v>57</v>
      </c>
      <c r="K5" s="1">
        <v>3.4169999999999998</v>
      </c>
    </row>
    <row r="6" spans="1:11">
      <c r="A6">
        <v>5</v>
      </c>
      <c r="B6" s="1" t="s">
        <v>63</v>
      </c>
      <c r="C6" s="1">
        <v>3.4579999999999997</v>
      </c>
      <c r="I6">
        <v>5</v>
      </c>
      <c r="J6" s="1" t="s">
        <v>63</v>
      </c>
      <c r="K6" s="1">
        <v>3.4579999999999997</v>
      </c>
    </row>
    <row r="7" spans="1:11">
      <c r="A7">
        <v>6</v>
      </c>
      <c r="B7" s="1" t="s">
        <v>39</v>
      </c>
      <c r="C7" s="1">
        <v>3.5669999999999997</v>
      </c>
      <c r="I7">
        <v>6</v>
      </c>
      <c r="J7" s="1" t="s">
        <v>39</v>
      </c>
      <c r="K7" s="1">
        <v>3.5669999999999997</v>
      </c>
    </row>
    <row r="8" spans="1:11">
      <c r="A8">
        <v>7</v>
      </c>
      <c r="B8" s="1" t="s">
        <v>41</v>
      </c>
      <c r="C8" s="1">
        <v>3.69</v>
      </c>
      <c r="I8">
        <v>7</v>
      </c>
      <c r="J8" s="1" t="s">
        <v>41</v>
      </c>
      <c r="K8" s="1">
        <v>3.69</v>
      </c>
    </row>
    <row r="9" spans="1:11">
      <c r="A9">
        <v>8</v>
      </c>
      <c r="B9" s="1" t="s">
        <v>25</v>
      </c>
      <c r="C9" s="1">
        <v>3.71</v>
      </c>
      <c r="I9">
        <v>8</v>
      </c>
      <c r="J9" s="1" t="s">
        <v>25</v>
      </c>
      <c r="K9" s="1">
        <v>3.71</v>
      </c>
    </row>
    <row r="10" spans="1:11">
      <c r="A10">
        <v>9</v>
      </c>
      <c r="B10" s="1" t="s">
        <v>84</v>
      </c>
      <c r="C10" s="1">
        <v>3.7789999999999999</v>
      </c>
      <c r="I10">
        <v>9</v>
      </c>
      <c r="J10" s="1" t="s">
        <v>84</v>
      </c>
      <c r="K10" s="1">
        <v>3.7789999999999999</v>
      </c>
    </row>
    <row r="11" spans="1:11">
      <c r="A11">
        <v>10</v>
      </c>
      <c r="B11" s="1" t="s">
        <v>49</v>
      </c>
      <c r="C11" s="1">
        <v>3.8279999999999998</v>
      </c>
      <c r="I11">
        <v>10</v>
      </c>
      <c r="J11" s="1" t="s">
        <v>49</v>
      </c>
      <c r="K11" s="1">
        <v>3.8279999999999998</v>
      </c>
    </row>
    <row r="12" spans="1:11">
      <c r="A12">
        <v>11</v>
      </c>
      <c r="B12" s="1" t="s">
        <v>71</v>
      </c>
      <c r="C12" s="1">
        <v>3.8460000000000001</v>
      </c>
      <c r="I12">
        <v>11</v>
      </c>
      <c r="J12" s="1" t="s">
        <v>71</v>
      </c>
      <c r="K12" s="1">
        <v>3.8460000000000001</v>
      </c>
    </row>
    <row r="13" spans="1:11">
      <c r="A13">
        <v>12</v>
      </c>
      <c r="B13" s="1" t="s">
        <v>31</v>
      </c>
      <c r="C13" s="1">
        <v>3.9219999999999997</v>
      </c>
      <c r="I13">
        <v>12</v>
      </c>
      <c r="J13" s="1" t="s">
        <v>31</v>
      </c>
      <c r="K13" s="1">
        <v>3.9219999999999997</v>
      </c>
    </row>
    <row r="14" spans="1:11">
      <c r="A14">
        <v>13</v>
      </c>
      <c r="B14" s="1" t="s">
        <v>10</v>
      </c>
      <c r="C14" s="1">
        <v>3.9529999999999998</v>
      </c>
      <c r="I14">
        <v>13</v>
      </c>
      <c r="J14" s="1" t="s">
        <v>10</v>
      </c>
      <c r="K14" s="1">
        <v>3.9529999999999998</v>
      </c>
    </row>
    <row r="15" spans="1:11">
      <c r="A15">
        <v>14</v>
      </c>
      <c r="B15" s="1" t="s">
        <v>30</v>
      </c>
      <c r="C15" s="1">
        <v>3.9729999999999999</v>
      </c>
      <c r="I15">
        <v>14</v>
      </c>
      <c r="J15" s="1" t="s">
        <v>30</v>
      </c>
      <c r="K15" s="1">
        <v>3.9729999999999999</v>
      </c>
    </row>
    <row r="16" spans="1:11">
      <c r="A16">
        <v>15</v>
      </c>
      <c r="B16" s="1" t="s">
        <v>53</v>
      </c>
      <c r="C16" s="1">
        <v>4.0209999999999999</v>
      </c>
      <c r="I16">
        <v>15</v>
      </c>
      <c r="J16" s="1" t="s">
        <v>53</v>
      </c>
      <c r="K16" s="1">
        <v>4.0209999999999999</v>
      </c>
    </row>
    <row r="17" spans="1:11">
      <c r="A17">
        <v>16</v>
      </c>
      <c r="B17" s="1" t="s">
        <v>21</v>
      </c>
      <c r="C17" s="1">
        <v>4.202</v>
      </c>
      <c r="I17">
        <v>16</v>
      </c>
      <c r="J17" s="1" t="s">
        <v>21</v>
      </c>
      <c r="K17" s="1">
        <v>4.202</v>
      </c>
    </row>
    <row r="18" spans="1:11">
      <c r="A18">
        <v>17</v>
      </c>
      <c r="B18" s="1" t="s">
        <v>37</v>
      </c>
      <c r="C18" s="1">
        <v>4.3090000000000002</v>
      </c>
      <c r="I18">
        <v>17</v>
      </c>
      <c r="J18" s="1" t="s">
        <v>37</v>
      </c>
      <c r="K18" s="1">
        <v>4.3090000000000002</v>
      </c>
    </row>
    <row r="19" spans="1:11">
      <c r="A19">
        <v>18</v>
      </c>
      <c r="B19" s="1" t="s">
        <v>22</v>
      </c>
      <c r="C19" s="1">
        <v>4.3370000000000006</v>
      </c>
      <c r="I19">
        <v>18</v>
      </c>
      <c r="J19" s="1" t="s">
        <v>22</v>
      </c>
      <c r="K19" s="1">
        <v>4.3370000000000006</v>
      </c>
    </row>
    <row r="20" spans="1:11">
      <c r="A20">
        <v>19</v>
      </c>
      <c r="B20" s="1" t="s">
        <v>48</v>
      </c>
      <c r="C20" s="1">
        <v>4.343</v>
      </c>
      <c r="I20">
        <v>19</v>
      </c>
      <c r="J20" s="1" t="s">
        <v>48</v>
      </c>
      <c r="K20" s="1">
        <v>4.343</v>
      </c>
    </row>
    <row r="21" spans="1:11">
      <c r="A21">
        <v>20</v>
      </c>
      <c r="B21" s="1" t="s">
        <v>54</v>
      </c>
      <c r="C21" s="1">
        <v>4.3710000000000004</v>
      </c>
      <c r="I21">
        <v>20</v>
      </c>
      <c r="J21" s="1" t="s">
        <v>54</v>
      </c>
      <c r="K21" s="1">
        <v>4.3710000000000004</v>
      </c>
    </row>
    <row r="22" spans="1:11">
      <c r="A22">
        <v>21</v>
      </c>
      <c r="B22" s="1" t="s">
        <v>14</v>
      </c>
      <c r="C22" s="1">
        <v>4.5260000000000007</v>
      </c>
      <c r="I22">
        <v>21</v>
      </c>
      <c r="J22" s="1" t="s">
        <v>14</v>
      </c>
      <c r="K22" s="1">
        <v>4.5260000000000007</v>
      </c>
    </row>
    <row r="23" spans="1:11">
      <c r="A23">
        <v>22</v>
      </c>
      <c r="B23" s="1" t="s">
        <v>28</v>
      </c>
      <c r="C23" s="1">
        <v>4.8130000000000006</v>
      </c>
      <c r="I23">
        <v>22</v>
      </c>
      <c r="J23" s="1" t="s">
        <v>28</v>
      </c>
      <c r="K23" s="1">
        <v>4.8130000000000006</v>
      </c>
    </row>
    <row r="24" spans="1:11">
      <c r="A24">
        <v>23</v>
      </c>
      <c r="B24" s="1" t="s">
        <v>61</v>
      </c>
      <c r="C24" s="1">
        <v>4.9140000000000006</v>
      </c>
      <c r="I24">
        <v>23</v>
      </c>
      <c r="J24" s="1" t="s">
        <v>61</v>
      </c>
      <c r="K24" s="1">
        <v>4.9140000000000006</v>
      </c>
    </row>
    <row r="25" spans="1:11">
      <c r="A25">
        <v>24</v>
      </c>
      <c r="B25" s="3" t="s">
        <v>94</v>
      </c>
      <c r="C25" s="1">
        <v>4.9690000000000003</v>
      </c>
      <c r="D25" t="s">
        <v>108</v>
      </c>
      <c r="I25">
        <v>24</v>
      </c>
      <c r="J25" t="s">
        <v>111</v>
      </c>
      <c r="K25">
        <v>5.109</v>
      </c>
    </row>
    <row r="26" spans="1:11">
      <c r="A26">
        <v>25</v>
      </c>
      <c r="B26" s="3" t="s">
        <v>95</v>
      </c>
      <c r="C26" s="1">
        <v>5.109</v>
      </c>
      <c r="D26" t="s">
        <v>108</v>
      </c>
      <c r="I26">
        <v>25</v>
      </c>
      <c r="J26" s="1" t="s">
        <v>45</v>
      </c>
      <c r="K26" s="1">
        <v>5.165</v>
      </c>
    </row>
    <row r="27" spans="1:11">
      <c r="A27">
        <v>26</v>
      </c>
      <c r="B27" s="1" t="s">
        <v>45</v>
      </c>
      <c r="C27" s="1">
        <v>5.165</v>
      </c>
      <c r="I27">
        <v>26</v>
      </c>
      <c r="J27" s="1" t="s">
        <v>83</v>
      </c>
      <c r="K27" s="1">
        <v>5.1660000000000004</v>
      </c>
    </row>
    <row r="28" spans="1:11">
      <c r="A28">
        <v>27</v>
      </c>
      <c r="B28" s="1" t="s">
        <v>83</v>
      </c>
      <c r="C28" s="1">
        <v>5.1660000000000004</v>
      </c>
      <c r="I28">
        <v>27</v>
      </c>
      <c r="J28" s="1" t="s">
        <v>19</v>
      </c>
      <c r="K28" s="1">
        <v>5.2480000000000002</v>
      </c>
    </row>
    <row r="29" spans="1:11">
      <c r="A29">
        <v>28</v>
      </c>
      <c r="B29" s="1" t="s">
        <v>19</v>
      </c>
      <c r="C29" s="1">
        <v>5.2480000000000002</v>
      </c>
      <c r="I29">
        <v>28</v>
      </c>
      <c r="J29" s="1" t="s">
        <v>26</v>
      </c>
      <c r="K29" s="1">
        <v>5.343</v>
      </c>
    </row>
    <row r="30" spans="1:11">
      <c r="A30">
        <v>29</v>
      </c>
      <c r="B30" s="1" t="s">
        <v>26</v>
      </c>
      <c r="C30" s="1">
        <v>5.343</v>
      </c>
      <c r="I30">
        <v>29</v>
      </c>
      <c r="J30" s="1" t="s">
        <v>11</v>
      </c>
      <c r="K30" s="1">
        <v>5.3780000000000001</v>
      </c>
    </row>
    <row r="31" spans="1:11">
      <c r="A31">
        <v>30</v>
      </c>
      <c r="B31" s="1" t="s">
        <v>11</v>
      </c>
      <c r="C31" s="1">
        <v>5.3780000000000001</v>
      </c>
      <c r="I31">
        <v>30</v>
      </c>
      <c r="J31" s="1" t="s">
        <v>15</v>
      </c>
      <c r="K31" s="1">
        <v>5.5170000000000003</v>
      </c>
    </row>
    <row r="32" spans="1:11">
      <c r="A32">
        <v>31</v>
      </c>
      <c r="B32" s="1" t="s">
        <v>15</v>
      </c>
      <c r="C32" s="1">
        <v>5.5170000000000003</v>
      </c>
      <c r="I32">
        <v>31</v>
      </c>
      <c r="J32" s="1" t="s">
        <v>44</v>
      </c>
      <c r="K32" s="1">
        <v>5.569</v>
      </c>
    </row>
    <row r="33" spans="1:11">
      <c r="A33">
        <v>32</v>
      </c>
      <c r="B33" s="1" t="s">
        <v>44</v>
      </c>
      <c r="C33" s="1">
        <v>5.569</v>
      </c>
      <c r="I33">
        <v>32</v>
      </c>
      <c r="J33" s="1" t="s">
        <v>42</v>
      </c>
      <c r="K33" s="1">
        <v>5.7629999999999999</v>
      </c>
    </row>
    <row r="34" spans="1:11">
      <c r="A34">
        <v>33</v>
      </c>
      <c r="B34" s="1" t="s">
        <v>42</v>
      </c>
      <c r="C34" s="1">
        <v>5.7629999999999999</v>
      </c>
      <c r="I34">
        <v>33</v>
      </c>
      <c r="J34" s="1" t="s">
        <v>9</v>
      </c>
      <c r="K34" s="1">
        <v>5.78</v>
      </c>
    </row>
    <row r="35" spans="1:11">
      <c r="A35">
        <v>34</v>
      </c>
      <c r="B35" s="1" t="s">
        <v>9</v>
      </c>
      <c r="C35" s="1">
        <v>5.78</v>
      </c>
      <c r="I35">
        <v>34</v>
      </c>
      <c r="J35" s="1" t="s">
        <v>59</v>
      </c>
      <c r="K35" s="1">
        <v>5.835</v>
      </c>
    </row>
    <row r="36" spans="1:11">
      <c r="A36">
        <v>35</v>
      </c>
      <c r="B36" s="1" t="s">
        <v>59</v>
      </c>
      <c r="C36" s="1">
        <v>5.835</v>
      </c>
      <c r="I36">
        <v>35</v>
      </c>
      <c r="J36" s="1" t="s">
        <v>66</v>
      </c>
      <c r="K36" s="1">
        <v>5.9050000000000002</v>
      </c>
    </row>
    <row r="37" spans="1:11">
      <c r="A37">
        <v>36</v>
      </c>
      <c r="B37" s="1" t="s">
        <v>66</v>
      </c>
      <c r="C37" s="1">
        <v>5.9050000000000002</v>
      </c>
      <c r="I37">
        <v>36</v>
      </c>
      <c r="J37" s="1" t="s">
        <v>40</v>
      </c>
      <c r="K37" s="1">
        <v>5.9359999999999999</v>
      </c>
    </row>
    <row r="38" spans="1:11">
      <c r="A38">
        <v>37</v>
      </c>
      <c r="B38" s="1" t="s">
        <v>40</v>
      </c>
      <c r="C38" s="1">
        <v>5.9359999999999999</v>
      </c>
      <c r="I38">
        <v>37</v>
      </c>
      <c r="J38" s="1" t="s">
        <v>52</v>
      </c>
      <c r="K38" s="1">
        <v>6</v>
      </c>
    </row>
    <row r="39" spans="1:11">
      <c r="A39">
        <v>38</v>
      </c>
      <c r="B39" s="1" t="s">
        <v>52</v>
      </c>
      <c r="C39" s="1">
        <v>6</v>
      </c>
      <c r="I39">
        <v>38</v>
      </c>
      <c r="J39" s="1" t="s">
        <v>75</v>
      </c>
      <c r="K39" s="1">
        <v>6.2170000000000005</v>
      </c>
    </row>
    <row r="40" spans="1:11">
      <c r="A40">
        <v>39</v>
      </c>
      <c r="B40" s="1" t="s">
        <v>75</v>
      </c>
      <c r="C40" s="1">
        <v>6.2170000000000005</v>
      </c>
      <c r="I40">
        <v>39</v>
      </c>
      <c r="J40" s="1" t="s">
        <v>20</v>
      </c>
      <c r="K40" s="1">
        <v>6.2430000000000003</v>
      </c>
    </row>
    <row r="41" spans="1:11">
      <c r="A41">
        <v>40</v>
      </c>
      <c r="B41" s="1" t="s">
        <v>20</v>
      </c>
      <c r="C41" s="1">
        <v>6.2430000000000003</v>
      </c>
      <c r="I41">
        <v>40</v>
      </c>
      <c r="J41" s="1" t="s">
        <v>36</v>
      </c>
      <c r="K41" s="1">
        <v>6.2540000000000004</v>
      </c>
    </row>
    <row r="42" spans="1:11">
      <c r="A42">
        <v>41</v>
      </c>
      <c r="B42" s="1" t="s">
        <v>36</v>
      </c>
      <c r="C42" s="1">
        <v>6.2540000000000004</v>
      </c>
      <c r="I42">
        <v>41</v>
      </c>
      <c r="J42" s="1" t="s">
        <v>81</v>
      </c>
      <c r="K42" s="1">
        <v>6.266</v>
      </c>
    </row>
    <row r="43" spans="1:11">
      <c r="A43">
        <v>42</v>
      </c>
      <c r="B43" s="1" t="s">
        <v>81</v>
      </c>
      <c r="C43" s="1">
        <v>6.266</v>
      </c>
      <c r="I43">
        <v>42</v>
      </c>
      <c r="J43" s="1" t="s">
        <v>65</v>
      </c>
      <c r="K43" s="1">
        <v>6.3400000000000007</v>
      </c>
    </row>
    <row r="44" spans="1:11">
      <c r="A44">
        <v>43</v>
      </c>
      <c r="B44" s="1" t="s">
        <v>65</v>
      </c>
      <c r="C44" s="1">
        <v>6.3400000000000007</v>
      </c>
      <c r="I44">
        <v>43</v>
      </c>
      <c r="J44" s="1" t="s">
        <v>29</v>
      </c>
      <c r="K44" s="1">
        <v>6.5129999999999999</v>
      </c>
    </row>
    <row r="45" spans="1:11">
      <c r="A45">
        <v>44</v>
      </c>
      <c r="B45" s="1" t="s">
        <v>29</v>
      </c>
      <c r="C45" s="1">
        <v>6.5129999999999999</v>
      </c>
      <c r="I45">
        <v>44</v>
      </c>
      <c r="J45" s="1" t="s">
        <v>34</v>
      </c>
      <c r="K45" s="1">
        <v>6.5680000000000005</v>
      </c>
    </row>
    <row r="46" spans="1:11">
      <c r="A46">
        <v>45</v>
      </c>
      <c r="B46" s="1" t="s">
        <v>34</v>
      </c>
      <c r="C46" s="1">
        <v>6.5680000000000005</v>
      </c>
      <c r="I46">
        <v>45</v>
      </c>
      <c r="J46" s="1" t="s">
        <v>43</v>
      </c>
      <c r="K46" s="1">
        <v>6.5760000000000005</v>
      </c>
    </row>
    <row r="47" spans="1:11">
      <c r="A47">
        <v>46</v>
      </c>
      <c r="B47" s="1" t="s">
        <v>43</v>
      </c>
      <c r="C47" s="1">
        <v>6.5760000000000005</v>
      </c>
      <c r="I47">
        <v>46</v>
      </c>
      <c r="J47" s="1" t="s">
        <v>18</v>
      </c>
      <c r="K47" s="1">
        <v>6.5860000000000003</v>
      </c>
    </row>
    <row r="48" spans="1:11">
      <c r="A48">
        <v>47</v>
      </c>
      <c r="B48" s="1" t="s">
        <v>18</v>
      </c>
      <c r="C48" s="1">
        <v>6.5860000000000003</v>
      </c>
      <c r="I48">
        <v>47</v>
      </c>
      <c r="J48" s="1" t="s">
        <v>77</v>
      </c>
      <c r="K48" s="1">
        <v>6.5890000000000004</v>
      </c>
    </row>
    <row r="49" spans="1:11">
      <c r="A49">
        <v>48</v>
      </c>
      <c r="B49" s="1" t="s">
        <v>77</v>
      </c>
      <c r="C49" s="1">
        <v>6.5890000000000004</v>
      </c>
      <c r="I49">
        <v>48</v>
      </c>
      <c r="J49" s="1" t="s">
        <v>32</v>
      </c>
      <c r="K49" s="1">
        <v>6.6690000000000005</v>
      </c>
    </row>
    <row r="50" spans="1:11">
      <c r="A50">
        <v>49</v>
      </c>
      <c r="B50" s="1" t="s">
        <v>32</v>
      </c>
      <c r="C50" s="1">
        <v>6.6690000000000005</v>
      </c>
      <c r="I50">
        <v>49</v>
      </c>
      <c r="J50" s="1" t="s">
        <v>33</v>
      </c>
      <c r="K50" s="1">
        <v>6.75</v>
      </c>
    </row>
    <row r="51" spans="1:11">
      <c r="A51">
        <v>50</v>
      </c>
      <c r="B51" s="1" t="s">
        <v>33</v>
      </c>
      <c r="C51" s="1">
        <v>6.75</v>
      </c>
      <c r="I51">
        <v>50</v>
      </c>
      <c r="J51" s="1" t="s">
        <v>27</v>
      </c>
      <c r="K51" s="1">
        <v>6.7700000000000005</v>
      </c>
    </row>
    <row r="52" spans="1:11">
      <c r="A52">
        <v>51</v>
      </c>
      <c r="B52" s="1" t="s">
        <v>27</v>
      </c>
      <c r="C52" s="1">
        <v>6.7700000000000005</v>
      </c>
      <c r="I52">
        <v>51</v>
      </c>
      <c r="J52" s="1" t="s">
        <v>23</v>
      </c>
      <c r="K52" s="1">
        <v>6.7890000000000006</v>
      </c>
    </row>
    <row r="53" spans="1:11">
      <c r="A53">
        <v>52</v>
      </c>
      <c r="B53" s="1" t="s">
        <v>23</v>
      </c>
      <c r="C53" s="1">
        <v>6.7890000000000006</v>
      </c>
      <c r="I53">
        <v>52</v>
      </c>
      <c r="J53" s="1" t="s">
        <v>68</v>
      </c>
      <c r="K53" s="1">
        <v>6.8080000000000007</v>
      </c>
    </row>
    <row r="54" spans="1:11">
      <c r="A54">
        <v>53</v>
      </c>
      <c r="B54" s="1" t="s">
        <v>68</v>
      </c>
      <c r="C54" s="1">
        <v>6.8080000000000007</v>
      </c>
      <c r="I54">
        <v>53</v>
      </c>
      <c r="J54" s="1" t="s">
        <v>76</v>
      </c>
      <c r="K54" s="1">
        <v>6.8680000000000003</v>
      </c>
    </row>
    <row r="55" spans="1:11">
      <c r="A55">
        <v>54</v>
      </c>
      <c r="B55" s="1" t="s">
        <v>76</v>
      </c>
      <c r="C55" s="1">
        <v>6.8680000000000003</v>
      </c>
      <c r="I55">
        <v>54</v>
      </c>
      <c r="J55" s="1" t="s">
        <v>67</v>
      </c>
      <c r="K55" s="1">
        <v>6.9390000000000001</v>
      </c>
    </row>
    <row r="56" spans="1:11">
      <c r="A56">
        <v>55</v>
      </c>
      <c r="B56" s="1" t="s">
        <v>67</v>
      </c>
      <c r="C56" s="1">
        <v>6.9390000000000001</v>
      </c>
      <c r="I56">
        <v>55</v>
      </c>
      <c r="J56" s="1" t="s">
        <v>16</v>
      </c>
      <c r="K56" s="1">
        <v>6.9620000000000006</v>
      </c>
    </row>
    <row r="57" spans="1:11">
      <c r="A57">
        <v>56</v>
      </c>
      <c r="B57" s="1" t="s">
        <v>16</v>
      </c>
      <c r="C57" s="1">
        <v>6.9620000000000006</v>
      </c>
      <c r="I57">
        <v>56</v>
      </c>
      <c r="J57" s="1" t="s">
        <v>58</v>
      </c>
      <c r="K57" s="1">
        <v>6.9720000000000004</v>
      </c>
    </row>
    <row r="58" spans="1:11">
      <c r="A58">
        <v>57</v>
      </c>
      <c r="B58" s="1" t="s">
        <v>58</v>
      </c>
      <c r="C58" s="1">
        <v>6.9720000000000004</v>
      </c>
      <c r="I58">
        <v>57</v>
      </c>
      <c r="J58" s="1" t="s">
        <v>78</v>
      </c>
      <c r="K58" s="1">
        <v>7.093</v>
      </c>
    </row>
    <row r="59" spans="1:11">
      <c r="A59">
        <v>58</v>
      </c>
      <c r="B59" s="1" t="s">
        <v>78</v>
      </c>
      <c r="C59" s="1">
        <v>7.093</v>
      </c>
      <c r="I59">
        <v>58</v>
      </c>
      <c r="J59" s="1" t="s">
        <v>35</v>
      </c>
      <c r="K59" s="1">
        <v>7.1110000000000007</v>
      </c>
    </row>
    <row r="60" spans="1:11">
      <c r="A60">
        <v>59</v>
      </c>
      <c r="B60" s="1" t="s">
        <v>35</v>
      </c>
      <c r="C60" s="1">
        <v>7.1110000000000007</v>
      </c>
      <c r="I60">
        <v>59</v>
      </c>
      <c r="J60" s="1" t="s">
        <v>74</v>
      </c>
      <c r="K60" s="1">
        <v>7.2160000000000002</v>
      </c>
    </row>
    <row r="61" spans="1:11">
      <c r="A61">
        <v>60</v>
      </c>
      <c r="B61" s="1" t="s">
        <v>74</v>
      </c>
      <c r="C61" s="1">
        <v>7.2160000000000002</v>
      </c>
      <c r="I61">
        <v>60</v>
      </c>
      <c r="J61" s="1" t="s">
        <v>47</v>
      </c>
      <c r="K61" s="1">
        <v>7.2360000000000007</v>
      </c>
    </row>
    <row r="62" spans="1:11">
      <c r="A62">
        <v>61</v>
      </c>
      <c r="B62" s="1" t="s">
        <v>47</v>
      </c>
      <c r="C62" s="1">
        <v>7.2360000000000007</v>
      </c>
      <c r="I62">
        <v>61</v>
      </c>
      <c r="J62" s="1" t="s">
        <v>24</v>
      </c>
      <c r="K62" s="1">
        <v>7.24</v>
      </c>
    </row>
    <row r="63" spans="1:11">
      <c r="A63">
        <v>62</v>
      </c>
      <c r="B63" s="1" t="s">
        <v>24</v>
      </c>
      <c r="C63" s="1">
        <v>7.24</v>
      </c>
      <c r="I63">
        <v>62</v>
      </c>
      <c r="J63" s="1" t="s">
        <v>82</v>
      </c>
      <c r="K63" s="1">
        <v>7.2450000000000001</v>
      </c>
    </row>
    <row r="64" spans="1:11">
      <c r="A64">
        <v>63</v>
      </c>
      <c r="B64" s="1" t="s">
        <v>82</v>
      </c>
      <c r="C64" s="1">
        <v>7.2450000000000001</v>
      </c>
      <c r="I64">
        <v>63</v>
      </c>
      <c r="J64" s="1" t="s">
        <v>38</v>
      </c>
      <c r="K64" s="1">
        <v>7.3100000000000005</v>
      </c>
    </row>
    <row r="65" spans="1:11">
      <c r="A65">
        <v>64</v>
      </c>
      <c r="B65" s="1" t="s">
        <v>38</v>
      </c>
      <c r="C65" s="1">
        <v>7.3100000000000005</v>
      </c>
      <c r="I65">
        <v>64</v>
      </c>
      <c r="J65" s="1" t="s">
        <v>13</v>
      </c>
      <c r="K65" s="1">
        <v>7.3550000000000004</v>
      </c>
    </row>
    <row r="66" spans="1:11">
      <c r="A66">
        <v>65</v>
      </c>
      <c r="B66" s="1" t="s">
        <v>13</v>
      </c>
      <c r="C66" s="1">
        <v>7.3550000000000004</v>
      </c>
      <c r="I66">
        <v>65</v>
      </c>
      <c r="J66" s="1" t="s">
        <v>17</v>
      </c>
      <c r="K66" s="1">
        <v>7.4030000000000005</v>
      </c>
    </row>
    <row r="67" spans="1:11">
      <c r="A67">
        <v>66</v>
      </c>
      <c r="B67" s="1" t="s">
        <v>17</v>
      </c>
      <c r="C67" s="1">
        <v>7.4030000000000005</v>
      </c>
      <c r="I67">
        <v>66</v>
      </c>
      <c r="J67" s="1" t="s">
        <v>69</v>
      </c>
      <c r="K67" s="1">
        <v>7.4039999999999999</v>
      </c>
    </row>
    <row r="68" spans="1:11">
      <c r="A68">
        <v>67</v>
      </c>
      <c r="B68" s="1" t="s">
        <v>69</v>
      </c>
      <c r="C68" s="1">
        <v>7.4039999999999999</v>
      </c>
      <c r="I68">
        <v>67</v>
      </c>
      <c r="J68" s="1" t="s">
        <v>56</v>
      </c>
      <c r="K68" s="1">
        <v>7.4090000000000007</v>
      </c>
    </row>
    <row r="69" spans="1:11">
      <c r="A69">
        <v>68</v>
      </c>
      <c r="B69" s="3" t="s">
        <v>91</v>
      </c>
      <c r="C69" s="1">
        <v>7.4050000000000002</v>
      </c>
      <c r="D69" t="s">
        <v>108</v>
      </c>
      <c r="I69">
        <v>68</v>
      </c>
      <c r="J69" s="1" t="s">
        <v>46</v>
      </c>
      <c r="K69" s="1">
        <v>7.4340000000000002</v>
      </c>
    </row>
    <row r="70" spans="1:11">
      <c r="A70">
        <v>69</v>
      </c>
      <c r="B70" s="1" t="s">
        <v>56</v>
      </c>
      <c r="C70" s="1">
        <v>7.4090000000000007</v>
      </c>
      <c r="I70">
        <v>69</v>
      </c>
      <c r="J70" s="1" t="s">
        <v>87</v>
      </c>
      <c r="K70" s="1">
        <v>7.4650000000000007</v>
      </c>
    </row>
    <row r="71" spans="1:11">
      <c r="A71">
        <v>70</v>
      </c>
      <c r="B71" s="1" t="s">
        <v>46</v>
      </c>
      <c r="C71" s="1">
        <v>7.4340000000000002</v>
      </c>
      <c r="I71">
        <v>70</v>
      </c>
      <c r="J71" s="1" t="s">
        <v>7</v>
      </c>
      <c r="K71" s="1">
        <v>7.5070000000000006</v>
      </c>
    </row>
    <row r="72" spans="1:11">
      <c r="A72">
        <v>71</v>
      </c>
      <c r="B72" s="1" t="s">
        <v>87</v>
      </c>
      <c r="C72" s="1">
        <v>7.4650000000000007</v>
      </c>
      <c r="I72">
        <v>71</v>
      </c>
      <c r="J72" s="1" t="s">
        <v>60</v>
      </c>
      <c r="K72" s="1">
        <v>7.5100000000000007</v>
      </c>
    </row>
    <row r="73" spans="1:11">
      <c r="A73">
        <v>72</v>
      </c>
      <c r="B73" s="1" t="s">
        <v>7</v>
      </c>
      <c r="C73" s="1">
        <v>7.5070000000000006</v>
      </c>
      <c r="I73">
        <v>72</v>
      </c>
      <c r="J73" s="1" t="s">
        <v>72</v>
      </c>
      <c r="K73" s="1">
        <v>7.5490000000000004</v>
      </c>
    </row>
    <row r="74" spans="1:11">
      <c r="A74">
        <v>73</v>
      </c>
      <c r="B74" s="1" t="s">
        <v>60</v>
      </c>
      <c r="C74" s="1">
        <v>7.5100000000000007</v>
      </c>
      <c r="I74">
        <v>73</v>
      </c>
      <c r="J74" s="1" t="s">
        <v>89</v>
      </c>
      <c r="K74" s="1">
        <v>7.6040000000000001</v>
      </c>
    </row>
    <row r="75" spans="1:11">
      <c r="A75">
        <v>74</v>
      </c>
      <c r="B75" s="1" t="s">
        <v>72</v>
      </c>
      <c r="C75" s="1">
        <v>7.5490000000000004</v>
      </c>
      <c r="I75">
        <v>74</v>
      </c>
      <c r="J75" s="1" t="s">
        <v>55</v>
      </c>
      <c r="K75" s="1">
        <v>7.6040000000000001</v>
      </c>
    </row>
    <row r="76" spans="1:11">
      <c r="A76">
        <v>75</v>
      </c>
      <c r="B76" s="1" t="s">
        <v>89</v>
      </c>
      <c r="C76" s="1">
        <v>7.6040000000000001</v>
      </c>
      <c r="I76">
        <v>75</v>
      </c>
      <c r="J76" s="1" t="s">
        <v>8</v>
      </c>
      <c r="K76" s="1">
        <v>7.641</v>
      </c>
    </row>
    <row r="77" spans="1:11">
      <c r="A77">
        <v>76</v>
      </c>
      <c r="B77" s="1" t="s">
        <v>55</v>
      </c>
      <c r="C77" s="1">
        <v>7.6040000000000001</v>
      </c>
      <c r="I77">
        <v>76</v>
      </c>
      <c r="J77" s="1" t="s">
        <v>79</v>
      </c>
      <c r="K77" s="1">
        <v>8.0619999999999994</v>
      </c>
    </row>
    <row r="78" spans="1:11">
      <c r="A78">
        <v>77</v>
      </c>
      <c r="B78" s="1" t="s">
        <v>8</v>
      </c>
      <c r="C78" s="1">
        <v>7.641</v>
      </c>
      <c r="I78">
        <v>77</v>
      </c>
      <c r="J78" s="1" t="s">
        <v>88</v>
      </c>
      <c r="K78" s="1">
        <v>8.1029999999999998</v>
      </c>
    </row>
    <row r="79" spans="1:11">
      <c r="A79">
        <v>78</v>
      </c>
      <c r="B79" s="1" t="s">
        <v>79</v>
      </c>
      <c r="C79" s="1">
        <v>8.0619999999999994</v>
      </c>
      <c r="I79">
        <v>78</v>
      </c>
      <c r="J79" s="1" t="s">
        <v>70</v>
      </c>
      <c r="K79" s="1">
        <v>8.141</v>
      </c>
    </row>
    <row r="80" spans="1:11">
      <c r="A80">
        <v>79</v>
      </c>
      <c r="B80" s="1" t="s">
        <v>88</v>
      </c>
      <c r="C80" s="1">
        <v>8.1029999999999998</v>
      </c>
      <c r="I80">
        <v>79</v>
      </c>
      <c r="J80" s="1" t="s">
        <v>80</v>
      </c>
      <c r="K80" s="1">
        <v>8.2579999999999991</v>
      </c>
    </row>
    <row r="81" spans="1:11">
      <c r="A81">
        <v>80</v>
      </c>
      <c r="B81" s="1" t="s">
        <v>70</v>
      </c>
      <c r="C81" s="1">
        <v>8.141</v>
      </c>
      <c r="I81">
        <v>80</v>
      </c>
      <c r="J81" s="1" t="s">
        <v>12</v>
      </c>
      <c r="K81" s="1">
        <v>8.2999999999999989</v>
      </c>
    </row>
    <row r="82" spans="1:11">
      <c r="A82">
        <v>81</v>
      </c>
      <c r="B82" s="1" t="s">
        <v>80</v>
      </c>
      <c r="C82" s="1">
        <v>8.2579999999999991</v>
      </c>
      <c r="I82">
        <v>81</v>
      </c>
      <c r="J82" s="1" t="s">
        <v>97</v>
      </c>
      <c r="K82" s="1">
        <v>8.4779999999999998</v>
      </c>
    </row>
    <row r="83" spans="1:11">
      <c r="A83">
        <v>82</v>
      </c>
      <c r="B83" s="1" t="s">
        <v>12</v>
      </c>
      <c r="C83" s="1">
        <v>8.2999999999999989</v>
      </c>
      <c r="I83">
        <v>82</v>
      </c>
      <c r="J83" s="1" t="s">
        <v>86</v>
      </c>
      <c r="K83" s="1">
        <v>8.5359999999999996</v>
      </c>
    </row>
    <row r="84" spans="1:11">
      <c r="A84">
        <v>83</v>
      </c>
      <c r="B84" s="1" t="s">
        <v>97</v>
      </c>
      <c r="C84" s="1">
        <v>8.4779999999999998</v>
      </c>
      <c r="I84">
        <v>83</v>
      </c>
      <c r="J84" s="1" t="s">
        <v>85</v>
      </c>
      <c r="K84" s="1">
        <v>8.5789999999999988</v>
      </c>
    </row>
    <row r="85" spans="1:11">
      <c r="A85">
        <v>84</v>
      </c>
      <c r="B85" s="1" t="s">
        <v>86</v>
      </c>
      <c r="C85" s="1">
        <v>8.5359999999999996</v>
      </c>
      <c r="I85">
        <v>84</v>
      </c>
      <c r="J85" s="1" t="s">
        <v>100</v>
      </c>
      <c r="K85" s="1">
        <v>8.9039999999999999</v>
      </c>
    </row>
    <row r="86" spans="1:11">
      <c r="A86">
        <v>85</v>
      </c>
      <c r="B86" s="1" t="s">
        <v>85</v>
      </c>
      <c r="C86" s="1">
        <v>8.5789999999999988</v>
      </c>
      <c r="I86">
        <v>85</v>
      </c>
      <c r="J86" s="1" t="s">
        <v>93</v>
      </c>
      <c r="K86" s="1">
        <v>9.234</v>
      </c>
    </row>
    <row r="87" spans="1:11">
      <c r="A87">
        <v>86</v>
      </c>
      <c r="B87" s="1" t="s">
        <v>100</v>
      </c>
      <c r="C87" s="1">
        <v>8.9039999999999999</v>
      </c>
      <c r="I87">
        <v>86</v>
      </c>
      <c r="J87" s="1" t="s">
        <v>90</v>
      </c>
      <c r="K87" s="1">
        <v>9.2889999999999997</v>
      </c>
    </row>
    <row r="88" spans="1:11">
      <c r="A88">
        <v>87</v>
      </c>
      <c r="B88" s="1" t="s">
        <v>93</v>
      </c>
      <c r="C88" s="1">
        <v>9.234</v>
      </c>
      <c r="I88">
        <v>87</v>
      </c>
      <c r="J88" s="1" t="s">
        <v>92</v>
      </c>
      <c r="K88" s="1">
        <v>9.3129999999999988</v>
      </c>
    </row>
    <row r="89" spans="1:11">
      <c r="A89">
        <v>88</v>
      </c>
      <c r="B89" s="1" t="s">
        <v>90</v>
      </c>
      <c r="C89" s="1">
        <v>9.2889999999999997</v>
      </c>
      <c r="I89">
        <v>88</v>
      </c>
      <c r="J89" s="1" t="s">
        <v>96</v>
      </c>
      <c r="K89" s="1">
        <v>9.3219999999999992</v>
      </c>
    </row>
    <row r="90" spans="1:11">
      <c r="A90">
        <v>89</v>
      </c>
      <c r="B90" s="1" t="s">
        <v>92</v>
      </c>
      <c r="C90" s="1">
        <v>9.3129999999999988</v>
      </c>
      <c r="I90">
        <v>89</v>
      </c>
      <c r="J90" s="1" t="s">
        <v>99</v>
      </c>
      <c r="K90" s="1">
        <v>9.9529999999999994</v>
      </c>
    </row>
    <row r="91" spans="1:11">
      <c r="A91">
        <v>90</v>
      </c>
      <c r="B91" s="1" t="s">
        <v>96</v>
      </c>
      <c r="C91" s="1">
        <v>9.3219999999999992</v>
      </c>
      <c r="I91">
        <v>90</v>
      </c>
      <c r="J91" s="1" t="s">
        <v>98</v>
      </c>
      <c r="K91" s="1">
        <v>10.314</v>
      </c>
    </row>
    <row r="92" spans="1:11">
      <c r="A92">
        <v>91</v>
      </c>
      <c r="B92" s="1" t="s">
        <v>99</v>
      </c>
      <c r="C92" s="1">
        <v>9.9529999999999994</v>
      </c>
      <c r="I92">
        <v>91</v>
      </c>
      <c r="J92" s="1" t="s">
        <v>101</v>
      </c>
      <c r="K92" s="1">
        <v>10.552</v>
      </c>
    </row>
    <row r="93" spans="1:11">
      <c r="A93">
        <v>92</v>
      </c>
      <c r="B93" s="1" t="s">
        <v>98</v>
      </c>
      <c r="C93" s="1">
        <v>10.314</v>
      </c>
      <c r="I93">
        <v>92</v>
      </c>
      <c r="J93" s="1" t="s">
        <v>102</v>
      </c>
      <c r="K93" s="1">
        <v>10.651</v>
      </c>
    </row>
    <row r="94" spans="1:11">
      <c r="A94">
        <v>93</v>
      </c>
      <c r="B94" s="1" t="s">
        <v>101</v>
      </c>
      <c r="C94" s="1">
        <v>10.552</v>
      </c>
      <c r="I94">
        <v>93</v>
      </c>
      <c r="J94" s="1" t="s">
        <v>103</v>
      </c>
      <c r="K94" s="1">
        <v>11.075999999999999</v>
      </c>
    </row>
    <row r="95" spans="1:11">
      <c r="A95">
        <v>94</v>
      </c>
      <c r="B95" s="1" t="s">
        <v>102</v>
      </c>
      <c r="C95" s="1">
        <v>10.651</v>
      </c>
    </row>
    <row r="96" spans="1:11">
      <c r="A96">
        <v>95</v>
      </c>
      <c r="B96" s="1" t="s">
        <v>103</v>
      </c>
      <c r="C96" s="1">
        <v>11.075999999999999</v>
      </c>
    </row>
    <row r="105" spans="6:6">
      <c r="F105" s="9"/>
    </row>
    <row r="106" spans="6:6">
      <c r="F106" s="9"/>
    </row>
    <row r="107" spans="6:6">
      <c r="F107" s="9"/>
    </row>
    <row r="189" spans="2:2">
      <c r="B189" s="9"/>
    </row>
    <row r="191" spans="2:2">
      <c r="B191" s="9"/>
    </row>
    <row r="192" spans="2:2">
      <c r="B19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ROR1</vt:lpstr>
      <vt:lpstr>Z138 Correction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S.Ahmed, MD</dc:creator>
  <cp:lastModifiedBy>Fahad S.Ahmed, MD</cp:lastModifiedBy>
  <dcterms:created xsi:type="dcterms:W3CDTF">2025-03-10T01:10:37Z</dcterms:created>
  <dcterms:modified xsi:type="dcterms:W3CDTF">2025-04-14T01:51:28Z</dcterms:modified>
</cp:coreProperties>
</file>